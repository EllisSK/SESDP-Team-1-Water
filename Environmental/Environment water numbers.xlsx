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omments1.xml" ContentType="application/vnd.openxmlformats-officedocument.spreadsheetml.comments+xml"/>
  <Override PartName="/xl/drawings/drawing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omments2.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6"/>
  <workbookPr/>
  <mc:AlternateContent xmlns:mc="http://schemas.openxmlformats.org/markup-compatibility/2006">
    <mc:Choice Requires="x15">
      <x15ac:absPath xmlns:x15ac="http://schemas.microsoft.com/office/spreadsheetml/2010/11/ac" url="https://newcastle-my.sharepoint.com/personal/c2018731_newcastle_ac_uk/Documents/"/>
    </mc:Choice>
  </mc:AlternateContent>
  <xr:revisionPtr revIDLastSave="0" documentId="8_{E6F6FBD3-08AA-4596-A13C-BAD706D7D0EB}" xr6:coauthVersionLast="47" xr6:coauthVersionMax="47" xr10:uidLastSave="{00000000-0000-0000-0000-000000000000}"/>
  <bookViews>
    <workbookView xWindow="-110" yWindow="-110" windowWidth="19420" windowHeight="10420" firstSheet="5" activeTab="5" xr2:uid="{C2A7E627-309E-438E-9402-1C0CB6591625}"/>
  </bookViews>
  <sheets>
    <sheet name="person" sheetId="1" r:id="rId1"/>
    <sheet name="Usage baseline and intervention" sheetId="6" r:id="rId2"/>
    <sheet name="Types of users" sheetId="5" r:id="rId3"/>
    <sheet name="Totals average weekday" sheetId="7" r:id="rId4"/>
    <sheet name="Generalised usage" sheetId="10" r:id="rId5"/>
    <sheet name="Neat copy" sheetId="16" r:id="rId6"/>
    <sheet name="Sheet1" sheetId="20" r:id="rId7"/>
    <sheet name="occupancy template" sheetId="19" r:id="rId8"/>
    <sheet name="Graphs" sheetId="18" r:id="rId9"/>
    <sheet name="Daily toilet habits" sheetId="15" r:id="rId10"/>
    <sheet name="Weekday tank" sheetId="13" r:id="rId11"/>
    <sheet name="Tank Graph" sheetId="17" r:id="rId12"/>
    <sheet name="Weekend tank" sheetId="14" r:id="rId13"/>
    <sheet name="test" sheetId="12" r:id="rId14"/>
    <sheet name="User usage" sheetId="11" r:id="rId15"/>
    <sheet name="weekend usage" sheetId="8" r:id="rId16"/>
    <sheet name="Holiday usage" sheetId="9" r:id="rId17"/>
  </sheet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 i="16" l="1"/>
  <c r="E20" i="16"/>
  <c r="O15" i="20"/>
  <c r="L15" i="20"/>
  <c r="J15" i="20"/>
  <c r="P13" i="20"/>
  <c r="J13" i="20"/>
  <c r="K12" i="20"/>
  <c r="J12" i="20"/>
  <c r="K11" i="20"/>
  <c r="J11" i="20"/>
  <c r="L10" i="20"/>
  <c r="K10" i="20"/>
  <c r="J10" i="20"/>
  <c r="L9" i="20"/>
  <c r="K9" i="20"/>
  <c r="J9" i="20"/>
  <c r="N8" i="20"/>
  <c r="J8" i="20"/>
  <c r="K7" i="20"/>
  <c r="J7" i="20"/>
  <c r="K6" i="20"/>
  <c r="J6" i="20"/>
  <c r="K5" i="20"/>
  <c r="J5" i="20"/>
  <c r="K4" i="20"/>
  <c r="J4" i="20"/>
  <c r="K3" i="20"/>
  <c r="J3" i="20"/>
  <c r="K2" i="20"/>
  <c r="J2" i="20"/>
  <c r="C8" i="19"/>
  <c r="C9" i="19"/>
  <c r="C10" i="19"/>
  <c r="C19" i="19"/>
  <c r="C20" i="19"/>
  <c r="C21" i="19"/>
  <c r="C22" i="19"/>
  <c r="C23" i="19"/>
  <c r="C24" i="19"/>
  <c r="C25" i="19"/>
  <c r="C7" i="19"/>
  <c r="E19" i="16"/>
  <c r="B21" i="15" l="1"/>
  <c r="B22" i="15"/>
  <c r="B23" i="15"/>
  <c r="B24" i="15"/>
  <c r="B25" i="15"/>
  <c r="B3" i="15"/>
  <c r="B4" i="15"/>
  <c r="B5" i="15"/>
  <c r="B6" i="15"/>
  <c r="B2" i="15"/>
  <c r="C23" i="16"/>
  <c r="B23" i="16"/>
  <c r="C20" i="16"/>
  <c r="B20" i="16"/>
  <c r="N36" i="16" s="1"/>
  <c r="O36" i="16" s="1"/>
  <c r="D5" i="18"/>
  <c r="D4" i="18"/>
  <c r="V42" i="16"/>
  <c r="O39" i="16"/>
  <c r="P39" i="16" s="1"/>
  <c r="Q39" i="16" s="1"/>
  <c r="R39" i="16" s="1"/>
  <c r="S39" i="16" s="1"/>
  <c r="T39" i="16" s="1"/>
  <c r="U39" i="16" s="1"/>
  <c r="V39" i="16" s="1"/>
  <c r="Q40" i="16"/>
  <c r="S40" i="16"/>
  <c r="U40" i="16" s="1"/>
  <c r="N44" i="16"/>
  <c r="O44" i="16" s="1"/>
  <c r="P44" i="16" s="1"/>
  <c r="Q44" i="16" s="1"/>
  <c r="R44" i="16" s="1"/>
  <c r="S44" i="16" s="1"/>
  <c r="T44" i="16" s="1"/>
  <c r="N41" i="16"/>
  <c r="O41" i="16" s="1"/>
  <c r="P41" i="16" s="1"/>
  <c r="Q41" i="16" s="1"/>
  <c r="N39" i="16"/>
  <c r="D23" i="15"/>
  <c r="D24" i="15" s="1"/>
  <c r="D25" i="15" s="1"/>
  <c r="D2" i="15" s="1"/>
  <c r="D3" i="15" s="1"/>
  <c r="D4" i="15" s="1"/>
  <c r="D5" i="15" s="1"/>
  <c r="D6" i="15" s="1"/>
  <c r="R41" i="16" l="1"/>
  <c r="S41" i="16" s="1"/>
  <c r="T41" i="16" s="1"/>
  <c r="U41" i="16" s="1"/>
  <c r="V41" i="16"/>
  <c r="U44" i="16"/>
  <c r="V44" i="16"/>
  <c r="D7" i="18"/>
  <c r="C7" i="18" s="1"/>
  <c r="E7" i="18" s="1"/>
  <c r="P36" i="16"/>
  <c r="E7" i="15"/>
  <c r="E8" i="15" s="1"/>
  <c r="E9" i="15" s="1"/>
  <c r="E10" i="15" s="1"/>
  <c r="E11" i="15" s="1"/>
  <c r="E12" i="15" s="1"/>
  <c r="E13" i="15" s="1"/>
  <c r="E14" i="15" s="1"/>
  <c r="E15" i="15" s="1"/>
  <c r="E16" i="15" s="1"/>
  <c r="E17" i="15" s="1"/>
  <c r="E18" i="15" s="1"/>
  <c r="E19" i="15" s="1"/>
  <c r="E20" i="15" s="1"/>
  <c r="E21" i="15" s="1"/>
  <c r="E22" i="15" s="1"/>
  <c r="E23" i="15" s="1"/>
  <c r="E24" i="15" s="1"/>
  <c r="E25" i="15" s="1"/>
  <c r="A4" i="17"/>
  <c r="A5" i="17" s="1"/>
  <c r="A6" i="17" s="1"/>
  <c r="A7" i="17" s="1"/>
  <c r="A8" i="17" s="1"/>
  <c r="A9" i="17" s="1"/>
  <c r="A10" i="17" s="1"/>
  <c r="A3" i="17"/>
  <c r="B67" i="16"/>
  <c r="H52" i="16"/>
  <c r="H58" i="16" s="1"/>
  <c r="K15" i="16"/>
  <c r="B54" i="16"/>
  <c r="H36" i="16"/>
  <c r="G7" i="16"/>
  <c r="G6" i="16"/>
  <c r="E35" i="16"/>
  <c r="E43" i="16" s="1"/>
  <c r="B81" i="16" s="1"/>
  <c r="F3" i="16"/>
  <c r="M14" i="16"/>
  <c r="B2" i="10"/>
  <c r="F7" i="10" s="1"/>
  <c r="B26" i="16"/>
  <c r="F4" i="16"/>
  <c r="F5" i="16"/>
  <c r="F6" i="16"/>
  <c r="F7" i="16"/>
  <c r="F8" i="16"/>
  <c r="M8" i="16" s="1"/>
  <c r="B24" i="16" s="1"/>
  <c r="F9" i="16"/>
  <c r="F10" i="16"/>
  <c r="F11" i="16"/>
  <c r="F12" i="16"/>
  <c r="F13" i="16"/>
  <c r="F15" i="16"/>
  <c r="F2" i="16"/>
  <c r="J16" i="16"/>
  <c r="I16" i="16"/>
  <c r="E16" i="16"/>
  <c r="D16" i="16"/>
  <c r="H15" i="16"/>
  <c r="E55" i="16" s="1"/>
  <c r="H10" i="16"/>
  <c r="H9" i="16"/>
  <c r="B16" i="16"/>
  <c r="C16" i="16"/>
  <c r="L13" i="16"/>
  <c r="L16" i="16" s="1"/>
  <c r="J8" i="16"/>
  <c r="G3" i="16"/>
  <c r="G4" i="16"/>
  <c r="M4" i="16" s="1"/>
  <c r="G5" i="16"/>
  <c r="G9" i="16"/>
  <c r="G10" i="16"/>
  <c r="G11" i="16"/>
  <c r="G12" i="16"/>
  <c r="G2" i="16"/>
  <c r="B10" i="10"/>
  <c r="C22" i="16" l="1"/>
  <c r="B22" i="16"/>
  <c r="H43" i="16"/>
  <c r="B82" i="16" s="1"/>
  <c r="C3" i="18"/>
  <c r="N38" i="16"/>
  <c r="C25" i="16"/>
  <c r="B25" i="16"/>
  <c r="B58" i="16"/>
  <c r="C4" i="18"/>
  <c r="E4" i="18" s="1"/>
  <c r="N42" i="16"/>
  <c r="O42" i="16" s="1"/>
  <c r="P42" i="16" s="1"/>
  <c r="Q42" i="16" s="1"/>
  <c r="R42" i="16" s="1"/>
  <c r="S42" i="16" s="1"/>
  <c r="O43" i="16"/>
  <c r="P43" i="16" s="1"/>
  <c r="Q43" i="16" s="1"/>
  <c r="R43" i="16" s="1"/>
  <c r="S43" i="16" s="1"/>
  <c r="T43" i="16" s="1"/>
  <c r="N43" i="16"/>
  <c r="C5" i="18" s="1"/>
  <c r="E5" i="18" s="1"/>
  <c r="C27" i="16"/>
  <c r="M15" i="16"/>
  <c r="B73" i="16"/>
  <c r="C6" i="18"/>
  <c r="N40" i="16"/>
  <c r="O40" i="16" s="1"/>
  <c r="P40" i="16" s="1"/>
  <c r="B35" i="16"/>
  <c r="P37" i="16" s="1"/>
  <c r="D6" i="18"/>
  <c r="E6" i="18" s="1"/>
  <c r="R40" i="16"/>
  <c r="B21" i="16"/>
  <c r="C21" i="16"/>
  <c r="C29" i="16" s="1"/>
  <c r="C2" i="18"/>
  <c r="N37" i="16"/>
  <c r="Q36" i="16"/>
  <c r="M6" i="16"/>
  <c r="M12" i="16"/>
  <c r="M11" i="16"/>
  <c r="M7" i="16"/>
  <c r="M5" i="16"/>
  <c r="M10" i="16"/>
  <c r="M9" i="16"/>
  <c r="M3" i="16"/>
  <c r="E58" i="16"/>
  <c r="E57" i="16"/>
  <c r="B84" i="16" s="1"/>
  <c r="M13" i="16"/>
  <c r="K16" i="16"/>
  <c r="B57" i="16"/>
  <c r="B83" i="16" s="1"/>
  <c r="B43" i="16"/>
  <c r="B80" i="16" s="1"/>
  <c r="H44" i="16"/>
  <c r="M2" i="16"/>
  <c r="B72" i="16"/>
  <c r="B86" i="16" s="1"/>
  <c r="H57" i="16"/>
  <c r="B85" i="16" s="1"/>
  <c r="B28" i="16"/>
  <c r="C28" i="16" s="1"/>
  <c r="G16" i="16"/>
  <c r="H16" i="16"/>
  <c r="B27" i="16"/>
  <c r="B4" i="10"/>
  <c r="C3" i="7"/>
  <c r="A1" i="12"/>
  <c r="C4" i="6"/>
  <c r="B6" i="10"/>
  <c r="B19" i="7"/>
  <c r="C9" i="7"/>
  <c r="T11" i="5"/>
  <c r="T6" i="5"/>
  <c r="I11" i="6"/>
  <c r="F3" i="6"/>
  <c r="F4" i="6"/>
  <c r="F5" i="6"/>
  <c r="F6" i="6"/>
  <c r="F7" i="6"/>
  <c r="F8" i="6"/>
  <c r="F9" i="6"/>
  <c r="F10" i="6"/>
  <c r="I10" i="6" s="1"/>
  <c r="F2" i="6"/>
  <c r="B8" i="10"/>
  <c r="B10" i="6"/>
  <c r="B9" i="6"/>
  <c r="F23" i="13"/>
  <c r="F24" i="13"/>
  <c r="F25" i="13"/>
  <c r="F26" i="13"/>
  <c r="B7" i="10"/>
  <c r="D26" i="14"/>
  <c r="H26" i="14" s="1"/>
  <c r="D25" i="14"/>
  <c r="H25" i="14" s="1"/>
  <c r="D24" i="14"/>
  <c r="H24" i="14" s="1"/>
  <c r="D23" i="14"/>
  <c r="H23" i="14" s="1"/>
  <c r="D22" i="14"/>
  <c r="H22" i="14" s="1"/>
  <c r="D21" i="14"/>
  <c r="H21" i="14" s="1"/>
  <c r="D20" i="14"/>
  <c r="H20" i="14" s="1"/>
  <c r="D19" i="14"/>
  <c r="H19" i="14" s="1"/>
  <c r="D18" i="14"/>
  <c r="H18" i="14" s="1"/>
  <c r="D17" i="14"/>
  <c r="H17" i="14" s="1"/>
  <c r="D16" i="14"/>
  <c r="H16" i="14" s="1"/>
  <c r="D15" i="14"/>
  <c r="H15" i="14" s="1"/>
  <c r="D14" i="14"/>
  <c r="H14" i="14" s="1"/>
  <c r="D13" i="14"/>
  <c r="H13" i="14" s="1"/>
  <c r="D12" i="14"/>
  <c r="H12" i="14" s="1"/>
  <c r="H11" i="14"/>
  <c r="D11" i="14"/>
  <c r="D10" i="14"/>
  <c r="H10" i="14" s="1"/>
  <c r="D9" i="14"/>
  <c r="H9" i="14" s="1"/>
  <c r="H8" i="14"/>
  <c r="D8" i="14"/>
  <c r="H7" i="14"/>
  <c r="D7" i="14"/>
  <c r="D6" i="14"/>
  <c r="H6" i="14" s="1"/>
  <c r="D5" i="14"/>
  <c r="H5" i="14" s="1"/>
  <c r="H4" i="14"/>
  <c r="D4" i="14"/>
  <c r="A4" i="14"/>
  <c r="A5" i="14" s="1"/>
  <c r="A6" i="14" s="1"/>
  <c r="A7" i="14" s="1"/>
  <c r="A8" i="14" s="1"/>
  <c r="A9" i="14" s="1"/>
  <c r="A10" i="14" s="1"/>
  <c r="A11" i="14" s="1"/>
  <c r="A12" i="14" s="1"/>
  <c r="A13" i="14" s="1"/>
  <c r="A14" i="14" s="1"/>
  <c r="A15" i="14" s="1"/>
  <c r="A16" i="14" s="1"/>
  <c r="A17" i="14" s="1"/>
  <c r="A18" i="14" s="1"/>
  <c r="A19" i="14" s="1"/>
  <c r="A20" i="14" s="1"/>
  <c r="A21" i="14" s="1"/>
  <c r="A22" i="14" s="1"/>
  <c r="A23" i="14" s="1"/>
  <c r="A24" i="14" s="1"/>
  <c r="A25" i="14" s="1"/>
  <c r="A26" i="14" s="1"/>
  <c r="G3" i="14"/>
  <c r="G4" i="14" s="1"/>
  <c r="G5" i="14" s="1"/>
  <c r="G6" i="14" s="1"/>
  <c r="G7" i="14" s="1"/>
  <c r="G8" i="14" s="1"/>
  <c r="G9" i="14" s="1"/>
  <c r="G10" i="14" s="1"/>
  <c r="G11" i="14" s="1"/>
  <c r="G12" i="14" s="1"/>
  <c r="G13" i="14" s="1"/>
  <c r="G14" i="14" s="1"/>
  <c r="G15" i="14" s="1"/>
  <c r="G16" i="14" s="1"/>
  <c r="G17" i="14" s="1"/>
  <c r="G18" i="14" s="1"/>
  <c r="G19" i="14" s="1"/>
  <c r="G20" i="14" s="1"/>
  <c r="G21" i="14" s="1"/>
  <c r="G22" i="14" s="1"/>
  <c r="G23" i="14" s="1"/>
  <c r="G24" i="14" s="1"/>
  <c r="G25" i="14" s="1"/>
  <c r="G26" i="14" s="1"/>
  <c r="E3" i="14"/>
  <c r="E4" i="14" s="1"/>
  <c r="E5" i="14" s="1"/>
  <c r="E6" i="14" s="1"/>
  <c r="E7" i="14" s="1"/>
  <c r="E8" i="14" s="1"/>
  <c r="E9" i="14" s="1"/>
  <c r="E10" i="14" s="1"/>
  <c r="E11" i="14" s="1"/>
  <c r="D3" i="14"/>
  <c r="H3" i="14" s="1"/>
  <c r="I3" i="14" s="1"/>
  <c r="D22" i="13"/>
  <c r="H22" i="13" s="1"/>
  <c r="D21" i="13"/>
  <c r="D20" i="13"/>
  <c r="D19" i="13"/>
  <c r="D18" i="13"/>
  <c r="D17" i="13"/>
  <c r="D16" i="13"/>
  <c r="D15" i="13"/>
  <c r="D14" i="13"/>
  <c r="D13" i="13"/>
  <c r="D12" i="13"/>
  <c r="D11" i="13"/>
  <c r="D10" i="13"/>
  <c r="D9" i="13"/>
  <c r="D8" i="13"/>
  <c r="A5" i="13"/>
  <c r="A6" i="13" s="1"/>
  <c r="A7" i="13" s="1"/>
  <c r="A8" i="13" s="1"/>
  <c r="A9" i="13" s="1"/>
  <c r="A10" i="13" s="1"/>
  <c r="A11" i="13" s="1"/>
  <c r="A12" i="13" s="1"/>
  <c r="A13" i="13" s="1"/>
  <c r="A14" i="13" s="1"/>
  <c r="A15" i="13" s="1"/>
  <c r="A16" i="13" s="1"/>
  <c r="A17" i="13" s="1"/>
  <c r="A18" i="13" s="1"/>
  <c r="A19" i="13" s="1"/>
  <c r="A20" i="13" s="1"/>
  <c r="A21" i="13" s="1"/>
  <c r="A22" i="13" s="1"/>
  <c r="A23" i="13" s="1"/>
  <c r="A24" i="13" s="1"/>
  <c r="A25" i="13" s="1"/>
  <c r="A26" i="13" s="1"/>
  <c r="G4" i="13"/>
  <c r="G5" i="13" s="1"/>
  <c r="G6" i="13" s="1"/>
  <c r="G7" i="13" s="1"/>
  <c r="A4" i="13"/>
  <c r="G3" i="13"/>
  <c r="O37" i="16" l="1"/>
  <c r="C7" i="15"/>
  <c r="C8" i="15"/>
  <c r="C9" i="15"/>
  <c r="C10" i="15"/>
  <c r="C11" i="15"/>
  <c r="C12" i="15"/>
  <c r="F13" i="13" s="1"/>
  <c r="H13" i="13" s="1"/>
  <c r="C13" i="15"/>
  <c r="C14" i="15"/>
  <c r="F15" i="13" s="1"/>
  <c r="H15" i="13" s="1"/>
  <c r="D2" i="18"/>
  <c r="E2" i="18" s="1"/>
  <c r="E28" i="16"/>
  <c r="V40" i="16"/>
  <c r="T40" i="16"/>
  <c r="M16" i="16"/>
  <c r="E24" i="16"/>
  <c r="N46" i="16"/>
  <c r="T38" i="16"/>
  <c r="O38" i="16"/>
  <c r="Q37" i="16"/>
  <c r="N45" i="16"/>
  <c r="D3" i="18"/>
  <c r="E3" i="18" s="1"/>
  <c r="B30" i="16"/>
  <c r="S38" i="16"/>
  <c r="V38" i="16" s="1"/>
  <c r="C30" i="16"/>
  <c r="U43" i="16"/>
  <c r="B29" i="16"/>
  <c r="R36" i="16"/>
  <c r="V43" i="16"/>
  <c r="C16" i="15"/>
  <c r="F17" i="13" s="1"/>
  <c r="H17" i="13" s="1"/>
  <c r="F11" i="13"/>
  <c r="H11" i="13" s="1"/>
  <c r="F14" i="13"/>
  <c r="H14" i="13" s="1"/>
  <c r="C15" i="15"/>
  <c r="F16" i="13" s="1"/>
  <c r="H16" i="13" s="1"/>
  <c r="F10" i="13"/>
  <c r="H10" i="13" s="1"/>
  <c r="F12" i="13"/>
  <c r="H12" i="13" s="1"/>
  <c r="C18" i="15"/>
  <c r="F19" i="13" s="1"/>
  <c r="H19" i="13" s="1"/>
  <c r="C17" i="15"/>
  <c r="F18" i="13" s="1"/>
  <c r="H18" i="13" s="1"/>
  <c r="F9" i="13"/>
  <c r="H9" i="13" s="1"/>
  <c r="C19" i="15"/>
  <c r="F20" i="13" s="1"/>
  <c r="H20" i="13" s="1"/>
  <c r="C20" i="15"/>
  <c r="F21" i="13" s="1"/>
  <c r="H21" i="13" s="1"/>
  <c r="E12" i="14"/>
  <c r="E13" i="14" s="1"/>
  <c r="E14" i="14" s="1"/>
  <c r="E15" i="14" s="1"/>
  <c r="E16" i="14" s="1"/>
  <c r="E17" i="14" s="1"/>
  <c r="E18" i="14" s="1"/>
  <c r="E19" i="14" s="1"/>
  <c r="E20" i="14" s="1"/>
  <c r="E21" i="14" s="1"/>
  <c r="E22" i="14" s="1"/>
  <c r="E23" i="14" s="1"/>
  <c r="E24" i="14" s="1"/>
  <c r="E25" i="14" s="1"/>
  <c r="E26" i="14" s="1"/>
  <c r="I4" i="14"/>
  <c r="I5" i="14" s="1"/>
  <c r="I6" i="14" s="1"/>
  <c r="I7" i="14" s="1"/>
  <c r="I8" i="14" s="1"/>
  <c r="I9" i="14" s="1"/>
  <c r="I10" i="14" s="1"/>
  <c r="I11" i="14" s="1"/>
  <c r="I12" i="14" s="1"/>
  <c r="I13" i="14" s="1"/>
  <c r="I14" i="14" s="1"/>
  <c r="I15" i="14" s="1"/>
  <c r="I16" i="14" s="1"/>
  <c r="I17" i="14" s="1"/>
  <c r="I18" i="14" s="1"/>
  <c r="I19" i="14" s="1"/>
  <c r="I20" i="14" s="1"/>
  <c r="I21" i="14" s="1"/>
  <c r="I22" i="14" s="1"/>
  <c r="I23" i="14" s="1"/>
  <c r="I24" i="14" s="1"/>
  <c r="I25" i="14" s="1"/>
  <c r="I26" i="14" s="1"/>
  <c r="E31" i="16" l="1"/>
  <c r="E29" i="16"/>
  <c r="E26" i="16"/>
  <c r="N53" i="16"/>
  <c r="C8" i="18"/>
  <c r="U38" i="16"/>
  <c r="P38" i="16"/>
  <c r="T37" i="16"/>
  <c r="R37" i="16"/>
  <c r="V37" i="16"/>
  <c r="O45" i="16"/>
  <c r="N54" i="16" s="1"/>
  <c r="O54" i="16" s="1"/>
  <c r="D8" i="18"/>
  <c r="E8" i="18" s="1"/>
  <c r="B10" i="15"/>
  <c r="B19" i="15"/>
  <c r="B20" i="15"/>
  <c r="B7" i="15"/>
  <c r="B16" i="15"/>
  <c r="B15" i="15"/>
  <c r="B9" i="15"/>
  <c r="B14" i="15"/>
  <c r="B13" i="15"/>
  <c r="B12" i="15"/>
  <c r="B11" i="15"/>
  <c r="B8" i="15"/>
  <c r="B18" i="15"/>
  <c r="B17" i="15"/>
  <c r="E30" i="16"/>
  <c r="D8" i="15"/>
  <c r="D9" i="15" s="1"/>
  <c r="D10" i="15" s="1"/>
  <c r="D11" i="15" s="1"/>
  <c r="D12" i="15" s="1"/>
  <c r="D13" i="15" s="1"/>
  <c r="D14" i="15" s="1"/>
  <c r="D15" i="15" s="1"/>
  <c r="D16" i="15" s="1"/>
  <c r="D17" i="15" s="1"/>
  <c r="D18" i="15" s="1"/>
  <c r="D19" i="15" s="1"/>
  <c r="D20" i="15" s="1"/>
  <c r="D32" i="15"/>
  <c r="B79" i="16"/>
  <c r="C82" i="16" s="1"/>
  <c r="S36" i="16"/>
  <c r="F8" i="13"/>
  <c r="H8" i="13" s="1"/>
  <c r="C83" i="16"/>
  <c r="I27" i="14" a="1"/>
  <c r="I27" i="14" s="1"/>
  <c r="Q38" i="16" l="1"/>
  <c r="P45" i="16"/>
  <c r="N55" i="16" s="1"/>
  <c r="O55" i="16" s="1"/>
  <c r="U37" i="16"/>
  <c r="S37" i="16"/>
  <c r="C80" i="16"/>
  <c r="C84" i="16"/>
  <c r="C85" i="16"/>
  <c r="C81" i="16"/>
  <c r="C86" i="16"/>
  <c r="T36" i="16"/>
  <c r="S45" i="16"/>
  <c r="N58" i="16" s="1"/>
  <c r="O58" i="16" s="1"/>
  <c r="G8" i="13"/>
  <c r="G9" i="13" s="1"/>
  <c r="G10" i="13" s="1"/>
  <c r="G11" i="13" s="1"/>
  <c r="G12" i="13" s="1"/>
  <c r="G13" i="13" s="1"/>
  <c r="G14" i="13" s="1"/>
  <c r="G15" i="13" s="1"/>
  <c r="G16" i="13" s="1"/>
  <c r="G17" i="13" s="1"/>
  <c r="G18" i="13" s="1"/>
  <c r="G19" i="13" s="1"/>
  <c r="G20" i="13" s="1"/>
  <c r="G21" i="13" s="1"/>
  <c r="G22" i="13" s="1"/>
  <c r="G23" i="13" s="1"/>
  <c r="G24" i="13" s="1"/>
  <c r="G25" i="13" s="1"/>
  <c r="G26" i="13" s="1"/>
  <c r="B11" i="17" a="1"/>
  <c r="B11" i="17" s="1"/>
  <c r="A11" i="17" s="1"/>
  <c r="A12" i="17" s="1"/>
  <c r="A13" i="17" s="1"/>
  <c r="A14" i="17" s="1"/>
  <c r="A15" i="17" s="1"/>
  <c r="A16" i="17" s="1"/>
  <c r="A17" i="17" s="1"/>
  <c r="A18" i="17" s="1"/>
  <c r="A19" i="17" s="1"/>
  <c r="A20" i="17" s="1"/>
  <c r="A21" i="17" s="1"/>
  <c r="A22" i="17" s="1"/>
  <c r="A23" i="17" s="1"/>
  <c r="A24" i="17" s="1"/>
  <c r="A25" i="17" s="1"/>
  <c r="L1" i="1"/>
  <c r="L2" i="1"/>
  <c r="J4" i="7"/>
  <c r="J3" i="7"/>
  <c r="E11" i="7"/>
  <c r="E10" i="7"/>
  <c r="E8" i="7"/>
  <c r="E7" i="7"/>
  <c r="E5" i="7"/>
  <c r="E3" i="7"/>
  <c r="E13" i="7"/>
  <c r="K5" i="10"/>
  <c r="E2" i="7"/>
  <c r="E4" i="7" s="1"/>
  <c r="C5" i="6"/>
  <c r="C3" i="6"/>
  <c r="C2" i="6"/>
  <c r="C2" i="7"/>
  <c r="C12" i="7"/>
  <c r="B6" i="6"/>
  <c r="B7" i="6"/>
  <c r="B5" i="6"/>
  <c r="B4" i="6"/>
  <c r="B3" i="6"/>
  <c r="B2" i="6"/>
  <c r="C10" i="7"/>
  <c r="AA11" i="5"/>
  <c r="Y11" i="5"/>
  <c r="R11" i="5"/>
  <c r="P11" i="5"/>
  <c r="D11" i="5"/>
  <c r="B11" i="5"/>
  <c r="I1" i="1"/>
  <c r="E9" i="7"/>
  <c r="R38" i="16" l="1"/>
  <c r="R45" i="16" s="1"/>
  <c r="N57" i="16" s="1"/>
  <c r="O57" i="16" s="1"/>
  <c r="Q45" i="16"/>
  <c r="N56" i="16" s="1"/>
  <c r="O56" i="16" s="1"/>
  <c r="U36" i="16"/>
  <c r="T45" i="16"/>
  <c r="N59" i="16" s="1"/>
  <c r="O59" i="16" s="1"/>
  <c r="E17" i="7"/>
  <c r="B5" i="10" s="1"/>
  <c r="E6" i="7"/>
  <c r="F10" i="7" s="1"/>
  <c r="F6" i="10"/>
  <c r="J2" i="7"/>
  <c r="J6" i="7" s="1"/>
  <c r="F8" i="10"/>
  <c r="B3" i="10" s="1"/>
  <c r="C7" i="7"/>
  <c r="D9" i="6"/>
  <c r="D2" i="6"/>
  <c r="N11" i="5"/>
  <c r="L11" i="5"/>
  <c r="T4" i="5"/>
  <c r="V36" i="16" l="1"/>
  <c r="V45" i="16" s="1"/>
  <c r="N61" i="16" s="1"/>
  <c r="O61" i="16" s="1"/>
  <c r="U45" i="16"/>
  <c r="N60" i="16" s="1"/>
  <c r="O60" i="16" s="1"/>
  <c r="K2" i="7"/>
  <c r="L2" i="7" s="1"/>
  <c r="M2" i="7" s="1"/>
  <c r="M4" i="7" s="1"/>
  <c r="C4" i="7"/>
  <c r="C6" i="7"/>
  <c r="C5" i="7"/>
  <c r="T3" i="5"/>
  <c r="D4" i="6"/>
  <c r="I4" i="6" s="1"/>
  <c r="I2" i="6"/>
  <c r="F8" i="1"/>
  <c r="I9" i="6"/>
  <c r="J11" i="5"/>
  <c r="C13" i="7" s="1"/>
  <c r="C8" i="7"/>
  <c r="G7" i="6"/>
  <c r="G2" i="6"/>
  <c r="D3" i="6"/>
  <c r="I3" i="6" s="1"/>
  <c r="B9" i="1"/>
  <c r="J10" i="6" l="1"/>
  <c r="J11" i="6"/>
  <c r="D6" i="6"/>
  <c r="D5" i="6"/>
  <c r="C17" i="7"/>
  <c r="J4" i="6"/>
  <c r="I12" i="6" s="1"/>
  <c r="J3" i="6"/>
  <c r="J9" i="6"/>
  <c r="L3" i="1"/>
  <c r="F2" i="7" l="1"/>
  <c r="J13" i="7" s="1"/>
  <c r="B9" i="10"/>
  <c r="B12" i="10" s="1"/>
  <c r="C18" i="7"/>
  <c r="I5" i="6"/>
  <c r="J5" i="6" s="1"/>
  <c r="D7" i="6"/>
  <c r="I7" i="6" s="1"/>
  <c r="J7" i="6" s="1"/>
  <c r="I6" i="6"/>
  <c r="D8" i="6"/>
  <c r="I8" i="6" s="1"/>
  <c r="J8" i="6" s="1"/>
  <c r="L4" i="1"/>
  <c r="H8" i="7" l="1"/>
  <c r="H9" i="7"/>
  <c r="C19" i="7"/>
  <c r="B11" i="10"/>
  <c r="G2" i="7"/>
  <c r="H2" i="7" s="1"/>
  <c r="I2" i="7" s="1"/>
  <c r="I4" i="7" s="1"/>
  <c r="I2" i="1"/>
  <c r="B3" i="1"/>
  <c r="D4" i="13" l="1"/>
  <c r="H4" i="13" s="1"/>
  <c r="D3" i="13"/>
  <c r="D26" i="13"/>
  <c r="H26" i="13" s="1"/>
  <c r="D24" i="13"/>
  <c r="H24" i="13" s="1"/>
  <c r="D5" i="13"/>
  <c r="H5" i="13" s="1"/>
  <c r="D7" i="13"/>
  <c r="H7" i="13" s="1"/>
  <c r="D6" i="13"/>
  <c r="H6" i="13" s="1"/>
  <c r="D25" i="13"/>
  <c r="H25" i="13" s="1"/>
  <c r="D23" i="13"/>
  <c r="H23" i="13" s="1"/>
  <c r="H3" i="13" l="1"/>
  <c r="I3" i="13" s="1"/>
  <c r="E3" i="13"/>
  <c r="E4" i="13" s="1"/>
  <c r="E5" i="13" s="1"/>
  <c r="E6" i="13" s="1"/>
  <c r="E7" i="13" s="1"/>
  <c r="E8" i="13" s="1"/>
  <c r="E9" i="13" s="1"/>
  <c r="E10" i="13" s="1"/>
  <c r="E11" i="13" s="1"/>
  <c r="E12" i="13" s="1"/>
  <c r="E13" i="13" s="1"/>
  <c r="E14" i="13" s="1"/>
  <c r="E15" i="13" s="1"/>
  <c r="E16" i="13" s="1"/>
  <c r="E17" i="13" s="1"/>
  <c r="E18" i="13" s="1"/>
  <c r="E19" i="13" s="1"/>
  <c r="E20" i="13" s="1"/>
  <c r="E21" i="13" s="1"/>
  <c r="E22" i="13" s="1"/>
  <c r="E23" i="13" s="1"/>
  <c r="E24" i="13" s="1"/>
  <c r="E25" i="13" s="1"/>
  <c r="E26" i="13" s="1"/>
  <c r="I4" i="13" l="1"/>
  <c r="I5" i="13" s="1"/>
  <c r="I6" i="13" s="1"/>
  <c r="I7" i="13" s="1"/>
  <c r="I8" i="13" s="1"/>
  <c r="I9" i="13" s="1"/>
  <c r="I10" i="13" s="1"/>
  <c r="I11" i="13" s="1"/>
  <c r="I12" i="13" s="1"/>
  <c r="I13" i="13" s="1"/>
  <c r="I14" i="13" s="1"/>
  <c r="I15" i="13" s="1"/>
  <c r="I16" i="13" s="1"/>
  <c r="I17" i="13" s="1"/>
  <c r="I18" i="13" s="1"/>
  <c r="I19" i="13" s="1"/>
  <c r="I20" i="13" s="1"/>
  <c r="I21" i="13" s="1"/>
  <c r="I22" i="13" s="1"/>
  <c r="I23" i="13" s="1"/>
  <c r="I24" i="13" s="1"/>
  <c r="I25" i="13" s="1"/>
  <c r="I26" i="13" s="1"/>
  <c r="I27" i="13" l="1" a="1"/>
  <c r="I27" i="13" s="1"/>
  <c r="A1" i="19"/>
  <c r="A1" i="19"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1" authorId="0" shapeId="0" xr:uid="{DD69BCE1-4937-416E-867C-D484BFA2A46D}">
      <text>
        <r>
          <rPr>
            <sz val="10"/>
            <color rgb="FF000000"/>
            <rFont val="Calibri"/>
            <family val="2"/>
          </rPr>
          <t xml:space="preserve">Alongside assessing the water demand for toilet  flushing, calculate the greywater produced in the building. Both water demands will give you the overall water demand (minus potable water that will not be suitable/available for reuse) and be the basis to assess water saving. 
</t>
        </r>
        <r>
          <rPr>
            <sz val="10"/>
            <color rgb="FF000000"/>
            <rFont val="Calibri"/>
            <family val="2"/>
          </rPr>
          <t>Next, take into account the volume and temporal pattern of the greywater treatment system, as well as of any additional water sources (e.g. rainwater, pond water/SUDS). If you find it easier to list them individually, just add additional columns and add into the 'Total flow into  tank</t>
        </r>
        <r>
          <rPr>
            <sz val="10"/>
            <color rgb="FF000000"/>
            <rFont val="+mn-lt"/>
            <charset val="1"/>
          </rPr>
          <t xml:space="preserve">'. 
</t>
        </r>
        <r>
          <rPr>
            <sz val="10"/>
            <color rgb="FF000000"/>
            <rFont val="+mn-lt"/>
            <charset val="1"/>
          </rPr>
          <t xml:space="preserve">Also, you need to make sure that you meet the brief's requirement of a constant flow provided by the pump to the greawater storage tank. If you deviate from this requirement, you need to explicitly justify your decision, particularly regarding the energy usage of the pump. 
</t>
        </r>
      </text>
    </comment>
    <comment ref="C1" authorId="0" shapeId="0" xr:uid="{78E9F9B0-4503-4EE7-999D-BA87AB2444E8}">
      <text>
        <r>
          <rPr>
            <sz val="10"/>
            <color rgb="FF000000"/>
            <rFont val="Calibri"/>
            <family val="2"/>
          </rPr>
          <t>Last: add the flow you will need to satisfy the overall water demand for toilet flushing. This flow should be as close to 0 as possible - minimizing the use of potable water for toilet flushing.</t>
        </r>
      </text>
    </comment>
    <comment ref="F1" authorId="0" shapeId="0" xr:uid="{DF74DF2F-9FD8-42CE-A0A3-9C98ED62EA8E}">
      <text>
        <r>
          <rPr>
            <sz val="10"/>
            <color rgb="FF000000"/>
            <rFont val="Calibri"/>
            <family val="2"/>
          </rPr>
          <t>Start with assessing the water demand for toilet flushing - this will give you an idea of both volume and temporal pattern.</t>
        </r>
      </text>
    </comment>
    <comment ref="G2" authorId="0" shapeId="0" xr:uid="{0A8B731D-58B7-43F0-96E2-F60BCDE7EA1A}">
      <text>
        <r>
          <rPr>
            <sz val="10"/>
            <color rgb="FF000000"/>
            <rFont val="Calibri"/>
            <family val="2"/>
          </rPr>
          <t>Do you have any additional uses for greywater? Add a column for each before this column and add into the 'cummulative flow out'.</t>
        </r>
      </text>
    </comment>
    <comment ref="J2" authorId="0" shapeId="0" xr:uid="{DE0759FB-9584-4E03-BFF5-8947AB8BC462}">
      <text>
        <r>
          <rPr>
            <sz val="10"/>
            <color rgb="FF000000"/>
            <rFont val="Aptos Narrow"/>
            <family val="2"/>
            <scheme val="minor"/>
          </rPr>
          <t>Calculating the level in the tank is a bit tricky, as it requires to establish the volume left in the tank after 24 h. Once you have determined the temporal pattern of water use for toilet flushing and provision of water to the greywater storage tank (i.e. your pumping regime), we can look at this together if needed.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1" authorId="0" shapeId="0" xr:uid="{45BA4CE7-55B9-4931-9006-AB12A7B354AF}">
      <text>
        <r>
          <rPr>
            <sz val="10"/>
            <color rgb="FF000000"/>
            <rFont val="Calibri"/>
            <family val="2"/>
          </rPr>
          <t xml:space="preserve">Alongside assessing the water demand for toilet  flushing, calculate the greywater produced in the building. Both water demands will give you the overall water demand (minus potable water that will not be suitable/available for reuse) and be the basis to assess water saving. 
</t>
        </r>
        <r>
          <rPr>
            <sz val="10"/>
            <color rgb="FF000000"/>
            <rFont val="Calibri"/>
            <family val="2"/>
          </rPr>
          <t>Next, take into account the volume and temporal pattern of the greywater treatment system, as well as of any additional water sources (e.g. rainwater, pond water/SUDS). If you find it easier to list them individually, just add additional columns and add into the 'Total flow into  tank</t>
        </r>
        <r>
          <rPr>
            <sz val="10"/>
            <color rgb="FF000000"/>
            <rFont val="+mn-lt"/>
            <charset val="1"/>
          </rPr>
          <t xml:space="preserve">'. 
</t>
        </r>
        <r>
          <rPr>
            <sz val="10"/>
            <color rgb="FF000000"/>
            <rFont val="+mn-lt"/>
            <charset val="1"/>
          </rPr>
          <t xml:space="preserve">Also, you need to make sure that you meet the brief's requirement of a constant flow provided by the pump to the greawater storage tank. If you deviate from this requirement, you need to explicitly justify your decision, particularly regarding the energy usage of the pump. 
</t>
        </r>
      </text>
    </comment>
    <comment ref="C1" authorId="0" shapeId="0" xr:uid="{B63DE6FD-3F4D-4C6D-9AB2-5CB977377AAE}">
      <text>
        <r>
          <rPr>
            <sz val="10"/>
            <color rgb="FF000000"/>
            <rFont val="Calibri"/>
            <family val="2"/>
          </rPr>
          <t>Last: add the flow you will need to satisfy the overall water demand for toilet flushing. This flow should be as close to 0 as possible - minimizing the use of potable water for toilet flushing.</t>
        </r>
      </text>
    </comment>
    <comment ref="F1" authorId="0" shapeId="0" xr:uid="{6F5E5F7E-2F4A-4D24-A795-1F9D1BEEBBE5}">
      <text>
        <r>
          <rPr>
            <sz val="10"/>
            <color rgb="FF000000"/>
            <rFont val="Calibri"/>
            <family val="2"/>
          </rPr>
          <t>Start with assessing the water demand for toilet flushing - this will give you an idea of both volume and temporal pattern.</t>
        </r>
      </text>
    </comment>
    <comment ref="G2" authorId="0" shapeId="0" xr:uid="{E69F89EC-1B65-4683-A434-6EC5549EBD3E}">
      <text>
        <r>
          <rPr>
            <sz val="10"/>
            <color rgb="FF000000"/>
            <rFont val="Calibri"/>
            <family val="2"/>
          </rPr>
          <t>Do you have any additional uses for greywater? Add a column for each before this column and add into the 'cummulative flow out'.</t>
        </r>
      </text>
    </comment>
    <comment ref="J2" authorId="0" shapeId="0" xr:uid="{AFFDA63C-865F-4569-88A0-275D1E6E9432}">
      <text>
        <r>
          <rPr>
            <sz val="10"/>
            <color rgb="FF000000"/>
            <rFont val="Aptos Narrow"/>
            <family val="2"/>
            <scheme val="minor"/>
          </rPr>
          <t>Calculating the level in the tank is a bit tricky, as it requires to establish the volume left in the tank after 24 h. Once you have determined the temporal pattern of water use for toilet flushing and provision of water to the greywater storage tank (i.e. your pumping regime), we can look at this together if needed.</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<sst xmlns="http://schemas.openxmlformats.org/spreadsheetml/2006/main" count="572" uniqueCount="252">
  <si>
    <t>Number of people</t>
  </si>
  <si>
    <t>Total water use per person</t>
  </si>
  <si>
    <t>l/day</t>
  </si>
  <si>
    <t>greywater produced</t>
  </si>
  <si>
    <t>Toilet to people ratio</t>
  </si>
  <si>
    <t xml:space="preserve">Total water use </t>
  </si>
  <si>
    <t>number of toilets</t>
  </si>
  <si>
    <t>greywater recycled</t>
  </si>
  <si>
    <t>Greywater</t>
  </si>
  <si>
    <t>Bluewater</t>
  </si>
  <si>
    <t>Greywater recycled</t>
  </si>
  <si>
    <t>uses</t>
  </si>
  <si>
    <t>needs per person</t>
  </si>
  <si>
    <t xml:space="preserve">Toilet flushes </t>
  </si>
  <si>
    <t xml:space="preserve"> basin</t>
  </si>
  <si>
    <t>sink</t>
  </si>
  <si>
    <t>make occupancy template</t>
  </si>
  <si>
    <t>Mixer showers</t>
  </si>
  <si>
    <t>water tank on weekends</t>
  </si>
  <si>
    <t>Dual toilet flushes</t>
  </si>
  <si>
    <t>Electric showers/low flow showerhead</t>
  </si>
  <si>
    <t>think about usage of different type of user</t>
  </si>
  <si>
    <t>Gardening</t>
  </si>
  <si>
    <t>washing machine</t>
  </si>
  <si>
    <t>promote behavioral change</t>
  </si>
  <si>
    <t>waterless urinals</t>
  </si>
  <si>
    <t>dishwasher</t>
  </si>
  <si>
    <t>list of wtaer saving devices</t>
  </si>
  <si>
    <t>Water fountain</t>
  </si>
  <si>
    <t>drinking water</t>
  </si>
  <si>
    <t>compare with other commercial buildings</t>
  </si>
  <si>
    <t>cleaning</t>
  </si>
  <si>
    <t>state savings</t>
  </si>
  <si>
    <t>pump calculations and energy</t>
  </si>
  <si>
    <t>lost leakages</t>
  </si>
  <si>
    <t>mains water straight to devices</t>
  </si>
  <si>
    <t>how often tank needs to be emptied</t>
  </si>
  <si>
    <t>spit water usage up</t>
  </si>
  <si>
    <t>greywater filtration disinfection</t>
  </si>
  <si>
    <t>sizing of tank and pump</t>
  </si>
  <si>
    <t>number of cyclists and showers</t>
  </si>
  <si>
    <t>sheets with calcs on</t>
  </si>
  <si>
    <t>hgroundwater storage tank and pump</t>
  </si>
  <si>
    <t>rainwater and greywater treatment systems</t>
  </si>
  <si>
    <t>Water saving devices</t>
  </si>
  <si>
    <t>Toilet flushing (l/day)</t>
  </si>
  <si>
    <t>Basins (l/day)</t>
  </si>
  <si>
    <t xml:space="preserve"> Showers (l/day)</t>
  </si>
  <si>
    <t>Washing machines (l/day)</t>
  </si>
  <si>
    <t>kitchen sinks (l)</t>
  </si>
  <si>
    <t>dishwasher (l/day)</t>
  </si>
  <si>
    <t>drinking water (l/day)</t>
  </si>
  <si>
    <t>Totals (l/day)</t>
  </si>
  <si>
    <t>Savings (l/day)</t>
  </si>
  <si>
    <t>Baseline</t>
  </si>
  <si>
    <t>Electric showers</t>
  </si>
  <si>
    <t>Dual flush toilets</t>
  </si>
  <si>
    <t>Sensor taps</t>
  </si>
  <si>
    <t>leak detection systems</t>
  </si>
  <si>
    <t>eco dishwasher</t>
  </si>
  <si>
    <t>Behavioural change</t>
  </si>
  <si>
    <t>eco wash cycle</t>
  </si>
  <si>
    <t>Water Usage</t>
  </si>
  <si>
    <t>people</t>
  </si>
  <si>
    <t>Total savings</t>
  </si>
  <si>
    <t>height 28m</t>
  </si>
  <si>
    <t>regular toilet</t>
  </si>
  <si>
    <t>lpf</t>
  </si>
  <si>
    <t>dual flush</t>
  </si>
  <si>
    <t>Modern dishwasher</t>
  </si>
  <si>
    <t>l/cycle</t>
  </si>
  <si>
    <t>Eco setting</t>
  </si>
  <si>
    <t>Traditional taps</t>
  </si>
  <si>
    <t>l/min</t>
  </si>
  <si>
    <t>Mixer/power showers</t>
  </si>
  <si>
    <t>Electric Showers</t>
  </si>
  <si>
    <t>shower time</t>
  </si>
  <si>
    <t>mins</t>
  </si>
  <si>
    <t xml:space="preserve">Drinking water </t>
  </si>
  <si>
    <t>l</t>
  </si>
  <si>
    <t>leakages</t>
  </si>
  <si>
    <t>Male Researcher</t>
  </si>
  <si>
    <t>litres</t>
  </si>
  <si>
    <t>Female Researcher</t>
  </si>
  <si>
    <t>Male Student</t>
  </si>
  <si>
    <t>Female Student</t>
  </si>
  <si>
    <t>Cyclist who shower</t>
  </si>
  <si>
    <t>Male visitor</t>
  </si>
  <si>
    <t>Female visitor</t>
  </si>
  <si>
    <t>Male cafe worker</t>
  </si>
  <si>
    <t>Female Café worker</t>
  </si>
  <si>
    <t>People using canteen</t>
  </si>
  <si>
    <t>Male nurse</t>
  </si>
  <si>
    <t>Female nurse</t>
  </si>
  <si>
    <t xml:space="preserve">Café </t>
  </si>
  <si>
    <t>Lab worker</t>
  </si>
  <si>
    <t>toilet</t>
  </si>
  <si>
    <t>Shower</t>
  </si>
  <si>
    <t>Toilet</t>
  </si>
  <si>
    <t>Kitchen sink</t>
  </si>
  <si>
    <t>lpm</t>
  </si>
  <si>
    <t>l/seat</t>
  </si>
  <si>
    <t>basin</t>
  </si>
  <si>
    <t>duration</t>
  </si>
  <si>
    <t>Basin</t>
  </si>
  <si>
    <t>Washing hands/dishes</t>
  </si>
  <si>
    <t>seconds</t>
  </si>
  <si>
    <t>Drinking/kettle/pot noodle</t>
  </si>
  <si>
    <t>Dishwasher</t>
  </si>
  <si>
    <t>lpc</t>
  </si>
  <si>
    <t xml:space="preserve">toilet </t>
  </si>
  <si>
    <t xml:space="preserve">basin </t>
  </si>
  <si>
    <t>Drinking water</t>
  </si>
  <si>
    <t>total (l/day)</t>
  </si>
  <si>
    <t>Total (l/day)</t>
  </si>
  <si>
    <t>no of people</t>
  </si>
  <si>
    <t>Total water usage (l/day)</t>
  </si>
  <si>
    <t>Basins</t>
  </si>
  <si>
    <t>Greywater produced (l/day)</t>
  </si>
  <si>
    <t>l/hr</t>
  </si>
  <si>
    <t>l/s</t>
  </si>
  <si>
    <t>Greywater for toilet flushing (l/day)</t>
  </si>
  <si>
    <t>(l/hr)</t>
  </si>
  <si>
    <t>male s</t>
  </si>
  <si>
    <t>female s</t>
  </si>
  <si>
    <t>pond?</t>
  </si>
  <si>
    <t>m3/s</t>
  </si>
  <si>
    <t>male v</t>
  </si>
  <si>
    <t>rainwater?</t>
  </si>
  <si>
    <t>female v</t>
  </si>
  <si>
    <t>male cw</t>
  </si>
  <si>
    <t>m3/day</t>
  </si>
  <si>
    <t>female cw</t>
  </si>
  <si>
    <t>male r</t>
  </si>
  <si>
    <t>female r</t>
  </si>
  <si>
    <t>Nurse m</t>
  </si>
  <si>
    <t>nurse f</t>
  </si>
  <si>
    <t>café</t>
  </si>
  <si>
    <t>showers</t>
  </si>
  <si>
    <t>Female lab</t>
  </si>
  <si>
    <t xml:space="preserve">Male lab </t>
  </si>
  <si>
    <t>canteen</t>
  </si>
  <si>
    <t>total</t>
  </si>
  <si>
    <t>Area</t>
  </si>
  <si>
    <t>savings (%)</t>
  </si>
  <si>
    <t>Average area</t>
  </si>
  <si>
    <t>m2</t>
  </si>
  <si>
    <t>Kitchen/café</t>
  </si>
  <si>
    <t>l/10m2</t>
  </si>
  <si>
    <t>Sm cleaning 2024</t>
  </si>
  <si>
    <t>café savings</t>
  </si>
  <si>
    <t>Toilet flushing</t>
  </si>
  <si>
    <t xml:space="preserve">more efficient devices </t>
  </si>
  <si>
    <t xml:space="preserve">Basins </t>
  </si>
  <si>
    <t>l/m2</t>
  </si>
  <si>
    <t>Showers</t>
  </si>
  <si>
    <t>Washing machines</t>
  </si>
  <si>
    <t xml:space="preserve">Café usage </t>
  </si>
  <si>
    <t xml:space="preserve">canteen </t>
  </si>
  <si>
    <t>Cleaning</t>
  </si>
  <si>
    <t>Total</t>
  </si>
  <si>
    <t>Greywater produced</t>
  </si>
  <si>
    <t>User</t>
  </si>
  <si>
    <t>No Of people</t>
  </si>
  <si>
    <t>Max capacity</t>
  </si>
  <si>
    <t>Large flush (x1) (l/day)</t>
  </si>
  <si>
    <t>Small flush (x2) (l/day)</t>
  </si>
  <si>
    <t>Total toilet flush</t>
  </si>
  <si>
    <t>Basin (l/day)</t>
  </si>
  <si>
    <t>Kitchen sink (l/day)</t>
  </si>
  <si>
    <t>Totals</t>
  </si>
  <si>
    <t>Totals max</t>
  </si>
  <si>
    <t>Café</t>
  </si>
  <si>
    <t>Male researcher</t>
  </si>
  <si>
    <t>per seat</t>
  </si>
  <si>
    <t>Female researcher</t>
  </si>
  <si>
    <t>seats</t>
  </si>
  <si>
    <t>Male student</t>
  </si>
  <si>
    <t>Occupancy</t>
  </si>
  <si>
    <t>Female student</t>
  </si>
  <si>
    <t>Savings</t>
  </si>
  <si>
    <t xml:space="preserve">Male Visitor </t>
  </si>
  <si>
    <t>Female Visitor</t>
  </si>
  <si>
    <t>cyclists who shower</t>
  </si>
  <si>
    <t>Male lab worker</t>
  </si>
  <si>
    <t>Female lab worker</t>
  </si>
  <si>
    <t xml:space="preserve">Male nurse </t>
  </si>
  <si>
    <t>Cleaner</t>
  </si>
  <si>
    <t>Canteen</t>
  </si>
  <si>
    <t>Sum</t>
  </si>
  <si>
    <t>Types of Usage</t>
  </si>
  <si>
    <t>Usage (l/day)</t>
  </si>
  <si>
    <t>Maximum usage</t>
  </si>
  <si>
    <t xml:space="preserve">Greywater </t>
  </si>
  <si>
    <t xml:space="preserve">Blackwater </t>
  </si>
  <si>
    <t>No reusable</t>
  </si>
  <si>
    <t>Taps</t>
  </si>
  <si>
    <t>Kitchen sinks</t>
  </si>
  <si>
    <t>waterless</t>
  </si>
  <si>
    <t>Types of uage</t>
  </si>
  <si>
    <t>Eco washing</t>
  </si>
  <si>
    <t>eco dishwash</t>
  </si>
  <si>
    <t>All intervensions</t>
  </si>
  <si>
    <t xml:space="preserve">Taps </t>
  </si>
  <si>
    <t>wasging machine</t>
  </si>
  <si>
    <t>behaviour</t>
  </si>
  <si>
    <t>Intervensions</t>
  </si>
  <si>
    <t>% decrease from base line</t>
  </si>
  <si>
    <t xml:space="preserve">waterless urinals </t>
  </si>
  <si>
    <t>Eco washing machine</t>
  </si>
  <si>
    <t>Eco dishwasher</t>
  </si>
  <si>
    <t>mixer</t>
  </si>
  <si>
    <t>all intervensions</t>
  </si>
  <si>
    <t>Devices</t>
  </si>
  <si>
    <t>% increase without intervensions</t>
  </si>
  <si>
    <t>No waterless urinals</t>
  </si>
  <si>
    <t>Traditional toilets</t>
  </si>
  <si>
    <t>Traditional sink taps</t>
  </si>
  <si>
    <t>Non eco washing machine</t>
  </si>
  <si>
    <t>No eco dishwasher</t>
  </si>
  <si>
    <t>No encouraging behaviour change</t>
  </si>
  <si>
    <t>Mixer shower</t>
  </si>
  <si>
    <t>Male Researcher/Student</t>
  </si>
  <si>
    <t>Female Reseacher/Student</t>
  </si>
  <si>
    <t>Male Visitor</t>
  </si>
  <si>
    <t xml:space="preserve">Percentage </t>
  </si>
  <si>
    <t>Intervension</t>
  </si>
  <si>
    <t>Percentage of savings from baseline</t>
  </si>
  <si>
    <t xml:space="preserve">Toilet flushing </t>
  </si>
  <si>
    <t>Washing Machines</t>
  </si>
  <si>
    <t>Time (hr)</t>
  </si>
  <si>
    <t xml:space="preserve">Water usage (l/hr) </t>
  </si>
  <si>
    <t>Toilet flushing demand (l/hr)</t>
  </si>
  <si>
    <t>Greywater in tank</t>
  </si>
  <si>
    <t>Intermittent supply of treated, reused greywater (different sources?)</t>
  </si>
  <si>
    <t>top up from mains to balance deficit for toilet flushing</t>
  </si>
  <si>
    <t>Water demand for toilet flushing</t>
  </si>
  <si>
    <t>Hour</t>
  </si>
  <si>
    <r>
      <t>Treated Greywater flow into Tank (Q</t>
    </r>
    <r>
      <rPr>
        <b/>
        <sz val="9"/>
        <color theme="1"/>
        <rFont val="Calibri (Body)"/>
      </rPr>
      <t>RGW</t>
    </r>
    <r>
      <rPr>
        <b/>
        <sz val="11"/>
        <color theme="1"/>
        <rFont val="Aptos Narrow"/>
        <family val="2"/>
        <scheme val="minor"/>
      </rPr>
      <t>) (L/h)</t>
    </r>
  </si>
  <si>
    <r>
      <t>Potable water flow into Tank (Q</t>
    </r>
    <r>
      <rPr>
        <b/>
        <sz val="9"/>
        <color theme="1"/>
        <rFont val="Calibri (Body)"/>
      </rPr>
      <t>D</t>
    </r>
    <r>
      <rPr>
        <b/>
        <sz val="11"/>
        <color theme="1"/>
        <rFont val="Aptos Narrow"/>
        <family val="2"/>
        <scheme val="minor"/>
      </rPr>
      <t>) (L/h)</t>
    </r>
  </si>
  <si>
    <t>Total Flow Into Tank that hour (Qin) (L/h)</t>
  </si>
  <si>
    <t>Cumulative flow in (L)</t>
  </si>
  <si>
    <t>Flow OUT of Tank that hour (Qout) (L/h)</t>
  </si>
  <si>
    <t>Cumulative flow out (L)</t>
  </si>
  <si>
    <t>Net Flow INTO tank that hour (Qin - Qout) (L/h)</t>
  </si>
  <si>
    <t>Cumulative NET Flow Into Tank (L/h)</t>
  </si>
  <si>
    <t>Level in the tank (L)</t>
  </si>
  <si>
    <t>Treater greywater in</t>
  </si>
  <si>
    <t>User type</t>
  </si>
  <si>
    <t xml:space="preserve">Female Student </t>
  </si>
  <si>
    <t>Male Nurse</t>
  </si>
  <si>
    <t>Female Nurse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</si>
</sst>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F400]h:mm:ss\ AM/PM"/>
  </numFmts>
  <fonts count="15">
    <font>
      <sz val="11"/>
      <color theme="1"/>
      <name val="Aptos Narrow"/>
      <family val="2"/>
      <scheme val="minor"/>
    </font>
    <font>
      <b/>
      <sz val="11"/>
      <color theme="1"/>
      <name val="Aptos Narrow"/>
      <family val="2"/>
      <scheme val="minor"/>
    </font>
    <font>
      <b/>
      <sz val="11"/>
      <color rgb="FF00B050"/>
      <name val="Aptos Narrow"/>
      <family val="2"/>
      <scheme val="minor"/>
    </font>
    <font>
      <b/>
      <sz val="9"/>
      <color theme="1"/>
      <name val="Calibri (Body)"/>
    </font>
    <font>
      <b/>
      <i/>
      <sz val="11"/>
      <color theme="1"/>
      <name val="Aptos Narrow"/>
      <family val="2"/>
      <scheme val="minor"/>
    </font>
    <font>
      <b/>
      <sz val="11"/>
      <color rgb="FF008F00"/>
      <name val="Aptos Narrow"/>
      <family val="2"/>
      <scheme val="minor"/>
    </font>
    <font>
      <sz val="8"/>
      <color theme="1"/>
      <name val="Aptos Narrow"/>
      <family val="2"/>
      <scheme val="minor"/>
    </font>
    <font>
      <sz val="11.5"/>
      <color rgb="FF000000"/>
      <name val="Times New Roman"/>
      <family val="1"/>
    </font>
    <font>
      <b/>
      <sz val="11.5"/>
      <color theme="1"/>
      <name val="Times New Roman"/>
      <family val="1"/>
    </font>
    <font>
      <i/>
      <sz val="11.5"/>
      <color theme="0" tint="-0.34998626667073579"/>
      <name val="Times New Roman"/>
      <family val="1"/>
    </font>
    <font>
      <i/>
      <sz val="11.5"/>
      <color theme="9" tint="-0.249977111117893"/>
      <name val="Times New Roman"/>
      <family val="1"/>
    </font>
    <font>
      <b/>
      <sz val="11.5"/>
      <color rgb="FF00B050"/>
      <name val="Times New Roman"/>
      <family val="1"/>
    </font>
    <font>
      <sz val="10"/>
      <color rgb="FF000000"/>
      <name val="Calibri"/>
      <family val="2"/>
    </font>
    <font>
      <sz val="10"/>
      <color rgb="FF000000"/>
      <name val="+mn-lt"/>
      <charset val="1"/>
    </font>
    <font>
      <sz val="10"/>
      <color rgb="FF000000"/>
      <name val="Aptos Narrow"/>
      <family val="2"/>
      <scheme val="minor"/>
    </font>
  </fonts>
  <fills count="16">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theme="5"/>
        <bgColor indexed="64"/>
      </patternFill>
    </fill>
    <fill>
      <patternFill patternType="solid">
        <fgColor theme="2"/>
        <bgColor indexed="64"/>
      </patternFill>
    </fill>
    <fill>
      <patternFill patternType="solid">
        <fgColor theme="4"/>
        <bgColor indexed="64"/>
      </patternFill>
    </fill>
    <fill>
      <patternFill patternType="solid">
        <fgColor theme="7"/>
        <bgColor indexed="64"/>
      </patternFill>
    </fill>
    <fill>
      <patternFill patternType="solid">
        <fgColor rgb="FFFF0000"/>
        <bgColor indexed="64"/>
      </patternFill>
    </fill>
    <fill>
      <patternFill patternType="solid">
        <fgColor theme="8"/>
        <bgColor indexed="64"/>
      </patternFill>
    </fill>
    <fill>
      <patternFill patternType="solid">
        <fgColor rgb="FFFFC000"/>
        <bgColor indexed="64"/>
      </patternFill>
    </fill>
    <fill>
      <patternFill patternType="solid">
        <fgColor theme="3" tint="0.89999084444715716"/>
        <bgColor indexed="64"/>
      </patternFill>
    </fill>
    <fill>
      <patternFill patternType="solid">
        <fgColor theme="0"/>
        <bgColor indexed="64"/>
      </patternFill>
    </fill>
    <fill>
      <patternFill patternType="solid">
        <fgColor theme="6" tint="0.59999389629810485"/>
        <bgColor indexed="64"/>
      </patternFill>
    </fill>
    <fill>
      <patternFill patternType="solid">
        <fgColor theme="0" tint="-4.9989318521683403E-2"/>
        <bgColor indexed="64"/>
      </patternFill>
    </fill>
    <fill>
      <patternFill patternType="solid">
        <fgColor theme="0" tint="-0.2499465926084170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diagonal/>
    </border>
    <border>
      <left style="thin">
        <color auto="1"/>
      </left>
      <right/>
      <top/>
      <bottom/>
      <diagonal/>
    </border>
    <border>
      <left style="thin">
        <color auto="1"/>
      </left>
      <right style="thin">
        <color auto="1"/>
      </right>
      <top/>
      <bottom style="thin">
        <color auto="1"/>
      </bottom>
      <diagonal/>
    </border>
    <border>
      <left style="thin">
        <color auto="1"/>
      </left>
      <right/>
      <top/>
      <bottom style="thin">
        <color auto="1"/>
      </bottom>
      <diagonal/>
    </border>
  </borders>
  <cellStyleXfs count="1">
    <xf numFmtId="0" fontId="0" fillId="0" borderId="0"/>
  </cellStyleXfs>
  <cellXfs count="59">
    <xf numFmtId="0" fontId="0" fillId="0" borderId="0" xfId="0"/>
    <xf numFmtId="20" fontId="0" fillId="0" borderId="0" xfId="0" applyNumberFormat="1"/>
    <xf numFmtId="0" fontId="0" fillId="2" borderId="0" xfId="0" applyFill="1"/>
    <xf numFmtId="2" fontId="0" fillId="0" borderId="0" xfId="0" applyNumberFormat="1"/>
    <xf numFmtId="164" fontId="0" fillId="0" borderId="0" xfId="0" applyNumberFormat="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2" borderId="1" xfId="0" applyFill="1" applyBorder="1"/>
    <xf numFmtId="0" fontId="0" fillId="0" borderId="1" xfId="0" applyBorder="1"/>
    <xf numFmtId="1" fontId="0" fillId="0" borderId="0" xfId="0" applyNumberFormat="1" applyAlignment="1">
      <alignment horizontal="center"/>
    </xf>
    <xf numFmtId="1" fontId="1" fillId="13" borderId="2" xfId="0" applyNumberFormat="1" applyFont="1" applyFill="1" applyBorder="1" applyAlignment="1">
      <alignment horizontal="center" vertical="center" wrapText="1"/>
    </xf>
    <xf numFmtId="1" fontId="1" fillId="13" borderId="1" xfId="0" applyNumberFormat="1" applyFont="1" applyFill="1" applyBorder="1" applyAlignment="1">
      <alignment horizontal="center" vertical="center" wrapText="1"/>
    </xf>
    <xf numFmtId="1" fontId="1" fillId="0" borderId="0" xfId="0" applyNumberFormat="1" applyFont="1" applyAlignment="1">
      <alignment horizontal="center"/>
    </xf>
    <xf numFmtId="1" fontId="2" fillId="0" borderId="0" xfId="0" applyNumberFormat="1" applyFont="1" applyAlignment="1">
      <alignment horizontal="center"/>
    </xf>
    <xf numFmtId="1" fontId="1" fillId="0" borderId="1" xfId="0" applyNumberFormat="1" applyFont="1" applyBorder="1" applyAlignment="1">
      <alignment horizontal="center" vertical="top" wrapText="1"/>
    </xf>
    <xf numFmtId="1" fontId="1" fillId="14" borderId="1" xfId="0" applyNumberFormat="1" applyFont="1" applyFill="1" applyBorder="1" applyAlignment="1">
      <alignment horizontal="center" vertical="top" wrapText="1"/>
    </xf>
    <xf numFmtId="1" fontId="4" fillId="14" borderId="1" xfId="0" applyNumberFormat="1" applyFont="1" applyFill="1" applyBorder="1" applyAlignment="1">
      <alignment horizontal="center" vertical="top" wrapText="1"/>
    </xf>
    <xf numFmtId="1" fontId="1" fillId="14" borderId="3" xfId="0" applyNumberFormat="1" applyFont="1" applyFill="1" applyBorder="1" applyAlignment="1">
      <alignment horizontal="center" vertical="top" wrapText="1"/>
    </xf>
    <xf numFmtId="1" fontId="4" fillId="14" borderId="3" xfId="0" applyNumberFormat="1" applyFont="1" applyFill="1" applyBorder="1" applyAlignment="1">
      <alignment horizontal="center" vertical="top" wrapText="1"/>
    </xf>
    <xf numFmtId="1" fontId="5" fillId="14" borderId="3" xfId="0" applyNumberFormat="1" applyFont="1" applyFill="1" applyBorder="1" applyAlignment="1">
      <alignment horizontal="center" vertical="top" wrapText="1"/>
    </xf>
    <xf numFmtId="1" fontId="1" fillId="0" borderId="0" xfId="0" applyNumberFormat="1" applyFont="1" applyAlignment="1">
      <alignment horizontal="center" vertical="top" wrapText="1"/>
    </xf>
    <xf numFmtId="1" fontId="6" fillId="0" borderId="0" xfId="0" applyNumberFormat="1" applyFont="1" applyAlignment="1">
      <alignment horizontal="center" vertical="center" wrapText="1"/>
    </xf>
    <xf numFmtId="0" fontId="1" fillId="0" borderId="0" xfId="0" applyFont="1" applyAlignment="1">
      <alignment horizontal="center" vertical="top" wrapText="1"/>
    </xf>
    <xf numFmtId="1" fontId="7" fillId="0" borderId="3" xfId="0" applyNumberFormat="1" applyFont="1" applyBorder="1" applyAlignment="1">
      <alignment horizontal="center" vertical="center" wrapText="1"/>
    </xf>
    <xf numFmtId="1" fontId="8" fillId="15" borderId="1" xfId="0" applyNumberFormat="1" applyFont="1" applyFill="1" applyBorder="1" applyAlignment="1">
      <alignment horizontal="center" vertical="center" wrapText="1"/>
    </xf>
    <xf numFmtId="1" fontId="8" fillId="0" borderId="3" xfId="0" applyNumberFormat="1" applyFont="1" applyBorder="1" applyAlignment="1">
      <alignment horizontal="center" vertical="center" wrapText="1"/>
    </xf>
    <xf numFmtId="1" fontId="9" fillId="0" borderId="4" xfId="0" applyNumberFormat="1" applyFont="1" applyBorder="1" applyAlignment="1">
      <alignment horizontal="center" vertical="center" wrapText="1"/>
    </xf>
    <xf numFmtId="1" fontId="10" fillId="0" borderId="3" xfId="0" applyNumberFormat="1" applyFont="1" applyBorder="1" applyAlignment="1">
      <alignment horizontal="center" vertical="center" wrapText="1"/>
    </xf>
    <xf numFmtId="1" fontId="11" fillId="0" borderId="3" xfId="0" applyNumberFormat="1" applyFont="1" applyBorder="1" applyAlignment="1">
      <alignment horizontal="center" vertical="center" wrapText="1"/>
    </xf>
    <xf numFmtId="1" fontId="7" fillId="0" borderId="5" xfId="0" applyNumberFormat="1" applyFont="1" applyBorder="1" applyAlignment="1">
      <alignment horizontal="center" vertical="center" wrapText="1"/>
    </xf>
    <xf numFmtId="1" fontId="8" fillId="0" borderId="5" xfId="0" applyNumberFormat="1" applyFont="1" applyBorder="1" applyAlignment="1">
      <alignment horizontal="center" vertical="center" wrapText="1"/>
    </xf>
    <xf numFmtId="1" fontId="9" fillId="0" borderId="6" xfId="0" applyNumberFormat="1" applyFont="1" applyBorder="1" applyAlignment="1">
      <alignment horizontal="center" vertical="center" wrapText="1"/>
    </xf>
    <xf numFmtId="1" fontId="10" fillId="0" borderId="5" xfId="0" applyNumberFormat="1" applyFont="1" applyBorder="1" applyAlignment="1">
      <alignment horizontal="center" vertical="center" wrapText="1"/>
    </xf>
    <xf numFmtId="1" fontId="11" fillId="0" borderId="5" xfId="0" applyNumberFormat="1" applyFont="1" applyBorder="1" applyAlignment="1">
      <alignment horizontal="center" vertical="center" wrapText="1"/>
    </xf>
    <xf numFmtId="1" fontId="7" fillId="15" borderId="1" xfId="0" applyNumberFormat="1" applyFont="1" applyFill="1" applyBorder="1" applyAlignment="1">
      <alignment horizontal="center" vertical="center" wrapText="1"/>
    </xf>
    <xf numFmtId="1" fontId="7" fillId="0" borderId="7" xfId="0" applyNumberFormat="1" applyFont="1" applyBorder="1" applyAlignment="1">
      <alignment horizontal="center" vertical="center" wrapText="1"/>
    </xf>
    <xf numFmtId="1" fontId="8" fillId="0" borderId="7" xfId="0" applyNumberFormat="1" applyFont="1" applyBorder="1" applyAlignment="1">
      <alignment horizontal="center" vertical="center" wrapText="1"/>
    </xf>
    <xf numFmtId="1" fontId="9" fillId="10" borderId="8" xfId="0" applyNumberFormat="1" applyFont="1" applyFill="1" applyBorder="1" applyAlignment="1">
      <alignment horizontal="center" vertical="center" wrapText="1"/>
    </xf>
    <xf numFmtId="1" fontId="10" fillId="10" borderId="7" xfId="0" applyNumberFormat="1" applyFont="1" applyFill="1" applyBorder="1" applyAlignment="1">
      <alignment horizontal="center" vertical="center" wrapText="1"/>
    </xf>
    <xf numFmtId="1" fontId="7" fillId="2" borderId="1" xfId="0" applyNumberFormat="1" applyFont="1" applyFill="1" applyBorder="1" applyAlignment="1">
      <alignment horizontal="center" vertical="center" wrapText="1"/>
    </xf>
    <xf numFmtId="1" fontId="11" fillId="0" borderId="7" xfId="0" applyNumberFormat="1" applyFont="1" applyBorder="1" applyAlignment="1">
      <alignment horizontal="center" vertical="center" wrapText="1"/>
    </xf>
    <xf numFmtId="1" fontId="0" fillId="8" borderId="1" xfId="0" applyNumberFormat="1" applyFill="1" applyBorder="1" applyAlignment="1">
      <alignment horizontal="center"/>
    </xf>
    <xf numFmtId="9" fontId="0" fillId="0" borderId="1" xfId="0" applyNumberFormat="1" applyBorder="1"/>
    <xf numFmtId="1" fontId="0" fillId="0" borderId="1" xfId="0" applyNumberFormat="1" applyBorder="1"/>
    <xf numFmtId="0" fontId="0" fillId="2" borderId="2" xfId="0" applyFill="1" applyBorder="1"/>
    <xf numFmtId="1" fontId="0" fillId="0" borderId="2" xfId="0" applyNumberFormat="1" applyBorder="1"/>
    <xf numFmtId="0" fontId="0" fillId="0" borderId="2" xfId="0" applyBorder="1"/>
    <xf numFmtId="1" fontId="0" fillId="0" borderId="0" xfId="0" applyNumberFormat="1"/>
    <xf numFmtId="0" fontId="0" fillId="2" borderId="5" xfId="0" applyFill="1" applyBorder="1"/>
    <xf numFmtId="0" fontId="0" fillId="2" borderId="7" xfId="0" applyFill="1" applyBorder="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AD0-4F19-AF31-4342AD5A95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AD0-4F19-AF31-4342AD5A95B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AD0-4F19-AF31-4342AD5A95B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AD0-4F19-AF31-4342AD5A95B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AD0-4F19-AF31-4342AD5A95B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AD0-4F19-AF31-4342AD5A95B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AD0-4F19-AF31-4342AD5A95B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AD0-4F19-AF31-4342AD5A95B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AD0-4F19-AF31-4342AD5A95BC}"/>
              </c:ext>
            </c:extLst>
          </c:dPt>
          <c:cat>
            <c:strRef>
              <c:f>'Generalised usage'!$A$2:$A$10</c:f>
              <c:strCache>
                <c:ptCount val="9"/>
                <c:pt idx="0">
                  <c:v>Kitchen/café</c:v>
                </c:pt>
                <c:pt idx="1">
                  <c:v>café savings</c:v>
                </c:pt>
                <c:pt idx="2">
                  <c:v>Toilet flushing</c:v>
                </c:pt>
                <c:pt idx="3">
                  <c:v>Basins </c:v>
                </c:pt>
                <c:pt idx="4">
                  <c:v>Drinking water</c:v>
                </c:pt>
                <c:pt idx="5">
                  <c:v>Showers</c:v>
                </c:pt>
                <c:pt idx="6">
                  <c:v>Washing machines</c:v>
                </c:pt>
                <c:pt idx="7">
                  <c:v>canteen </c:v>
                </c:pt>
                <c:pt idx="8">
                  <c:v>Cleaning</c:v>
                </c:pt>
              </c:strCache>
            </c:strRef>
          </c:cat>
          <c:val>
            <c:numRef>
              <c:f>'Generalised usage'!$B$2:$B$10</c:f>
              <c:numCache>
                <c:formatCode>General</c:formatCode>
                <c:ptCount val="9"/>
                <c:pt idx="0">
                  <c:v>3500</c:v>
                </c:pt>
                <c:pt idx="1">
                  <c:v>2450</c:v>
                </c:pt>
                <c:pt idx="2">
                  <c:v>10572</c:v>
                </c:pt>
                <c:pt idx="3">
                  <c:v>2115</c:v>
                </c:pt>
                <c:pt idx="4">
                  <c:v>2310</c:v>
                </c:pt>
                <c:pt idx="5">
                  <c:v>4500</c:v>
                </c:pt>
                <c:pt idx="6">
                  <c:v>70</c:v>
                </c:pt>
                <c:pt idx="7">
                  <c:v>790</c:v>
                </c:pt>
                <c:pt idx="8">
                  <c:v>3198</c:v>
                </c:pt>
              </c:numCache>
            </c:numRef>
          </c:val>
          <c:extLst>
            <c:ext xmlns:c16="http://schemas.microsoft.com/office/drawing/2014/chart" uri="{C3380CC4-5D6E-409C-BE32-E72D297353CC}">
              <c16:uniqueId val="{00000000-0E5F-43ED-8456-0DDEE5DDF89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9F-4B1D-A13E-12542DC72A6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9F-4B1D-A13E-12542DC72A6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49F-4B1D-A13E-12542DC72A6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49F-4B1D-A13E-12542DC72A6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49F-4B1D-A13E-12542DC72A6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49F-4B1D-A13E-12542DC72A6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49F-4B1D-A13E-12542DC72A6A}"/>
              </c:ext>
            </c:extLst>
          </c:dPt>
          <c:dPt>
            <c:idx val="7"/>
            <c:bubble3D val="0"/>
            <c:spPr>
              <a:pattFill prst="shingle">
                <a:fgClr>
                  <a:schemeClr val="accent1"/>
                </a:fgClr>
                <a:bgClr>
                  <a:schemeClr val="bg1"/>
                </a:bgClr>
              </a:pattFill>
              <a:ln w="19050">
                <a:solidFill>
                  <a:schemeClr val="lt1"/>
                </a:solidFill>
              </a:ln>
              <a:effectLst/>
            </c:spPr>
            <c:extLst>
              <c:ext xmlns:c16="http://schemas.microsoft.com/office/drawing/2014/chart" uri="{C3380CC4-5D6E-409C-BE32-E72D297353CC}">
                <c16:uniqueId val="{00000001-5B92-4EB8-A19B-496E5C6C5B73}"/>
              </c:ext>
            </c:extLst>
          </c:dPt>
          <c:cat>
            <c:strRef>
              <c:f>'Generalised usage'!$A$3:$A$10</c:f>
              <c:strCache>
                <c:ptCount val="8"/>
                <c:pt idx="0">
                  <c:v>café savings</c:v>
                </c:pt>
                <c:pt idx="1">
                  <c:v>Toilet flushing</c:v>
                </c:pt>
                <c:pt idx="2">
                  <c:v>Basins </c:v>
                </c:pt>
                <c:pt idx="3">
                  <c:v>Drinking water</c:v>
                </c:pt>
                <c:pt idx="4">
                  <c:v>Showers</c:v>
                </c:pt>
                <c:pt idx="5">
                  <c:v>Washing machines</c:v>
                </c:pt>
                <c:pt idx="6">
                  <c:v>canteen </c:v>
                </c:pt>
                <c:pt idx="7">
                  <c:v>Cleaning</c:v>
                </c:pt>
              </c:strCache>
            </c:strRef>
          </c:cat>
          <c:val>
            <c:numRef>
              <c:f>'Generalised usage'!$B$3:$B$10</c:f>
              <c:numCache>
                <c:formatCode>General</c:formatCode>
                <c:ptCount val="8"/>
                <c:pt idx="0">
                  <c:v>2450</c:v>
                </c:pt>
                <c:pt idx="1">
                  <c:v>10572</c:v>
                </c:pt>
                <c:pt idx="2">
                  <c:v>2115</c:v>
                </c:pt>
                <c:pt idx="3">
                  <c:v>2310</c:v>
                </c:pt>
                <c:pt idx="4">
                  <c:v>4500</c:v>
                </c:pt>
                <c:pt idx="5">
                  <c:v>70</c:v>
                </c:pt>
                <c:pt idx="6">
                  <c:v>790</c:v>
                </c:pt>
                <c:pt idx="7">
                  <c:v>3198</c:v>
                </c:pt>
              </c:numCache>
            </c:numRef>
          </c:val>
          <c:extLst>
            <c:ext xmlns:c16="http://schemas.microsoft.com/office/drawing/2014/chart" uri="{C3380CC4-5D6E-409C-BE32-E72D297353CC}">
              <c16:uniqueId val="{00000000-5B92-4EB8-A19B-496E5C6C5B73}"/>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Water</a:t>
            </a:r>
            <a:r>
              <a:rPr lang="en-GB" baseline="0"/>
              <a:t> usage distribution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8B-4ED1-9B36-1C723F34B9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8B-4ED1-9B36-1C723F34B9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8B-4ED1-9B36-1C723F34B95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68B-4ED1-9B36-1C723F34B95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68B-4ED1-9B36-1C723F34B95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68B-4ED1-9B36-1C723F34B95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68B-4ED1-9B36-1C723F34B95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68B-4ED1-9B36-1C723F34B95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B42-4E7A-B845-157BBAB833AA}"/>
              </c:ext>
            </c:extLst>
          </c:dPt>
          <c:dLbls>
            <c:dLbl>
              <c:idx val="1"/>
              <c:layout>
                <c:manualLayout>
                  <c:x val="9.2671697287839017E-3"/>
                  <c:y val="-2.972623213764946E-2"/>
                </c:manualLayout>
              </c:layout>
              <c:dLblPos val="bestFi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68B-4ED1-9B36-1C723F34B955}"/>
                </c:ext>
              </c:extLst>
            </c:dLbl>
            <c:dLbl>
              <c:idx val="3"/>
              <c:layout>
                <c:manualLayout>
                  <c:x val="-0.280882637575331"/>
                  <c:y val="-1.6426014929951938E-2"/>
                </c:manualLayout>
              </c:layout>
              <c:dLblPos val="bestFi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68B-4ED1-9B36-1C723F34B955}"/>
                </c:ext>
              </c:extLst>
            </c:dLbl>
            <c:dLbl>
              <c:idx val="6"/>
              <c:layout>
                <c:manualLayout>
                  <c:x val="-9.2672353455818021E-2"/>
                  <c:y val="5.6555118110236217E-2"/>
                </c:manualLayout>
              </c:layout>
              <c:dLblPos val="bestFi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968B-4ED1-9B36-1C723F34B9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'Neat copy'!$A$20:$A$28</c:f>
              <c:strCache>
                <c:ptCount val="9"/>
                <c:pt idx="0">
                  <c:v>Café </c:v>
                </c:pt>
                <c:pt idx="1">
                  <c:v>Toilet flushing</c:v>
                </c:pt>
                <c:pt idx="2">
                  <c:v>Taps</c:v>
                </c:pt>
                <c:pt idx="3">
                  <c:v>Drinking water</c:v>
                </c:pt>
                <c:pt idx="4">
                  <c:v>Showers</c:v>
                </c:pt>
                <c:pt idx="5">
                  <c:v>Kitchen sinks</c:v>
                </c:pt>
                <c:pt idx="6">
                  <c:v>Washing machines</c:v>
                </c:pt>
                <c:pt idx="7">
                  <c:v>canteen </c:v>
                </c:pt>
                <c:pt idx="8">
                  <c:v>Cleaning</c:v>
                </c:pt>
              </c:strCache>
            </c:strRef>
          </c:cat>
          <c:val>
            <c:numRef>
              <c:f>'Neat copy'!$B$20:$B$28</c:f>
              <c:numCache>
                <c:formatCode>General</c:formatCode>
                <c:ptCount val="9"/>
                <c:pt idx="0">
                  <c:v>1687.5</c:v>
                </c:pt>
                <c:pt idx="1">
                  <c:v>7610</c:v>
                </c:pt>
                <c:pt idx="2">
                  <c:v>1767.75</c:v>
                </c:pt>
                <c:pt idx="3">
                  <c:v>2457</c:v>
                </c:pt>
                <c:pt idx="4">
                  <c:v>300</c:v>
                </c:pt>
                <c:pt idx="5">
                  <c:v>509.55000000000007</c:v>
                </c:pt>
                <c:pt idx="6">
                  <c:v>70</c:v>
                </c:pt>
                <c:pt idx="7">
                  <c:v>911.25</c:v>
                </c:pt>
                <c:pt idx="8">
                  <c:v>3198</c:v>
                </c:pt>
              </c:numCache>
            </c:numRef>
          </c:val>
          <c:extLst>
            <c:ext xmlns:c16="http://schemas.microsoft.com/office/drawing/2014/chart" uri="{C3380CC4-5D6E-409C-BE32-E72D297353CC}">
              <c16:uniqueId val="{00000000-6891-48AC-B2BC-44D5624EE7A6}"/>
            </c:ext>
          </c:extLst>
        </c:ser>
        <c:dLbls>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Greywater</a:t>
            </a:r>
            <a:r>
              <a:rPr lang="en-US" baseline="0"/>
              <a:t> recycled</a:t>
            </a:r>
            <a:r>
              <a:rPr lang="en-US"/>
              <a:t> (l/day)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'Neat copy'!$E$23</c:f>
              <c:strCache>
                <c:ptCount val="1"/>
                <c:pt idx="0">
                  <c:v>Usage (l/day)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BB2-4F3B-A687-CEF58272D2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0BB2-4F3B-A687-CEF58272D2C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0BB2-4F3B-A687-CEF58272D2C2}"/>
              </c:ext>
            </c:extLst>
          </c:dPt>
          <c:dLbls>
            <c:dLbl>
              <c:idx val="0"/>
              <c:tx>
                <c:rich>
                  <a:bodyPr/>
                  <a:lstStyle/>
                  <a:p>
                    <a:fld id="{4DD84598-B812-4CD2-AED7-668AB70ED88E}" type="CATEGORYNAME">
                      <a:rPr lang="en-US">
                        <a:solidFill>
                          <a:schemeClr val="bg1"/>
                        </a:solidFill>
                      </a:rPr>
                      <a:pPr/>
                      <a:t>[]</a:t>
                    </a:fld>
                    <a:r>
                      <a:rPr lang="en-US" baseline="0"/>
                      <a:t>
</a:t>
                    </a:r>
                    <a:fld id="{472F37E7-6663-49BD-ADDB-01A42261CE30}" type="PERCENTAGE">
                      <a:rPr lang="en-US" baseline="0">
                        <a:solidFill>
                          <a:schemeClr val="bg1"/>
                        </a:solidFill>
                      </a:rPr>
                      <a:pPr/>
                      <a:t>[]</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BB2-4F3B-A687-CEF58272D2C2}"/>
                </c:ext>
              </c:extLst>
            </c:dLbl>
            <c:dLbl>
              <c:idx val="1"/>
              <c:tx>
                <c:rich>
                  <a:bodyPr/>
                  <a:lstStyle/>
                  <a:p>
                    <a:fld id="{D6088DC5-97A8-4BC8-A7B1-9D024FA526BD}" type="CATEGORYNAME">
                      <a:rPr lang="en-US">
                        <a:solidFill>
                          <a:schemeClr val="bg1"/>
                        </a:solidFill>
                      </a:rPr>
                      <a:pPr/>
                      <a:t>[]</a:t>
                    </a:fld>
                    <a:r>
                      <a:rPr lang="en-US" baseline="0">
                        <a:solidFill>
                          <a:schemeClr val="bg1"/>
                        </a:solidFill>
                      </a:rPr>
                      <a:t>
</a:t>
                    </a:r>
                    <a:fld id="{5762EECC-D05C-47A2-B43C-615CEB0188E2}" type="PERCENTAGE">
                      <a:rPr lang="en-US" baseline="0">
                        <a:solidFill>
                          <a:schemeClr val="bg1"/>
                        </a:solidFill>
                      </a:rPr>
                      <a:pPr/>
                      <a:t>[]</a:t>
                    </a:fld>
                    <a:endParaRPr lang="en-US" baseline="0">
                      <a:solidFill>
                        <a:schemeClr val="bg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0BB2-4F3B-A687-CEF58272D2C2}"/>
                </c:ext>
              </c:extLst>
            </c:dLbl>
            <c:dLbl>
              <c:idx val="2"/>
              <c:tx>
                <c:rich>
                  <a:bodyPr/>
                  <a:lstStyle/>
                  <a:p>
                    <a:fld id="{84A800D1-D2E4-4B3F-A673-99948EC74CB1}" type="CATEGORYNAME">
                      <a:rPr lang="en-US">
                        <a:solidFill>
                          <a:schemeClr val="bg1"/>
                        </a:solidFill>
                      </a:rPr>
                      <a:pPr/>
                      <a:t>[]</a:t>
                    </a:fld>
                    <a:r>
                      <a:rPr lang="en-US" baseline="0">
                        <a:solidFill>
                          <a:schemeClr val="bg1"/>
                        </a:solidFill>
                      </a:rPr>
                      <a:t>
</a:t>
                    </a:r>
                    <a:fld id="{6AAD8B21-BA63-4E8E-BF2D-2398792DB2C9}" type="PERCENTAGE">
                      <a:rPr lang="en-US" baseline="0">
                        <a:solidFill>
                          <a:schemeClr val="bg1"/>
                        </a:solidFill>
                      </a:rPr>
                      <a:pPr/>
                      <a:t>[]</a:t>
                    </a:fld>
                    <a:endParaRPr lang="en-US" baseline="0">
                      <a:solidFill>
                        <a:schemeClr val="bg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BB2-4F3B-A687-CEF58272D2C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'Neat copy'!$D$24:$D$26</c:f>
              <c:strCache>
                <c:ptCount val="3"/>
                <c:pt idx="0">
                  <c:v>Toilet flushing</c:v>
                </c:pt>
                <c:pt idx="1">
                  <c:v>Cleaning</c:v>
                </c:pt>
                <c:pt idx="2">
                  <c:v>Greywater produced</c:v>
                </c:pt>
              </c:strCache>
            </c:strRef>
          </c:cat>
          <c:val>
            <c:numRef>
              <c:f>'Neat copy'!$E$24:$E$26</c:f>
              <c:numCache>
                <c:formatCode>General</c:formatCode>
                <c:ptCount val="3"/>
                <c:pt idx="0">
                  <c:v>7610</c:v>
                </c:pt>
                <c:pt idx="1">
                  <c:v>3198</c:v>
                </c:pt>
                <c:pt idx="2">
                  <c:v>3558.55</c:v>
                </c:pt>
              </c:numCache>
            </c:numRef>
          </c:val>
          <c:extLst>
            <c:ext xmlns:c16="http://schemas.microsoft.com/office/drawing/2014/chart" uri="{C3380CC4-5D6E-409C-BE32-E72D297353CC}">
              <c16:uniqueId val="{00000000-0BB2-4F3B-A687-CEF58272D2C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'Neat copy'!$N$65</c:f>
              <c:strCache>
                <c:ptCount val="1"/>
                <c:pt idx="0">
                  <c:v>% decrease from base line</c:v>
                </c:pt>
              </c:strCache>
            </c:strRef>
          </c:tx>
          <c:spPr>
            <a:solidFill>
              <a:schemeClr val="accent1"/>
            </a:solidFill>
            <a:ln>
              <a:noFill/>
            </a:ln>
            <a:effectLst/>
          </c:spPr>
          <c:invertIfNegative val="0"/>
          <c:dLbls>
            <c:dLbl>
              <c:idx val="0"/>
              <c:tx>
                <c:rich>
                  <a:bodyPr/>
                  <a:lstStyle/>
                  <a:p>
                    <a:fld id="{AA9A678B-9781-48BA-A4E0-3AC191E03768}" type="VALUE">
                      <a:rPr lang="en-US"/>
                      <a:pPr/>
                      <a:t>[]</a:t>
                    </a:fld>
                    <a:r>
                      <a:rPr lang="en-US"/>
                      <a:t>%</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448-49C3-9E73-E7F22641D06D}"/>
                </c:ext>
              </c:extLst>
            </c:dLbl>
            <c:dLbl>
              <c:idx val="1"/>
              <c:tx>
                <c:rich>
                  <a:bodyPr/>
                  <a:lstStyle/>
                  <a:p>
                    <a:fld id="{051055A3-3B79-404F-A795-4F3247ADE838}" type="VALUE">
                      <a:rPr lang="en-US"/>
                      <a:pPr/>
                      <a:t>[]</a:t>
                    </a:fld>
                    <a:r>
                      <a:rPr lang="en-US"/>
                      <a:t>%</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6448-49C3-9E73-E7F22641D06D}"/>
                </c:ext>
              </c:extLst>
            </c:dLbl>
            <c:dLbl>
              <c:idx val="2"/>
              <c:tx>
                <c:rich>
                  <a:bodyPr/>
                  <a:lstStyle/>
                  <a:p>
                    <a:fld id="{13B51864-40E5-4FA5-9CA4-15AEE510596A}" type="VALUE">
                      <a:rPr lang="en-US"/>
                      <a:pPr/>
                      <a:t>[]</a:t>
                    </a:fld>
                    <a:r>
                      <a:rPr lang="en-US"/>
                      <a:t>%</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448-49C3-9E73-E7F22641D06D}"/>
                </c:ext>
              </c:extLst>
            </c:dLbl>
            <c:dLbl>
              <c:idx val="3"/>
              <c:tx>
                <c:rich>
                  <a:bodyPr/>
                  <a:lstStyle/>
                  <a:p>
                    <a:fld id="{0FB1C6FB-AC06-4235-B252-E884C33936D6}" type="VALUE">
                      <a:rPr lang="en-US"/>
                      <a:pPr/>
                      <a:t>[]</a:t>
                    </a:fld>
                    <a:r>
                      <a:rPr lang="en-US"/>
                      <a:t>%</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6448-49C3-9E73-E7F22641D06D}"/>
                </c:ext>
              </c:extLst>
            </c:dLbl>
            <c:dLbl>
              <c:idx val="4"/>
              <c:tx>
                <c:rich>
                  <a:bodyPr/>
                  <a:lstStyle/>
                  <a:p>
                    <a:fld id="{224C8E98-7DCC-4661-84DA-7395F306BA02}" type="VALUE">
                      <a:rPr lang="en-US"/>
                      <a:pPr/>
                      <a:t>[]</a:t>
                    </a:fld>
                    <a:r>
                      <a:rPr lang="en-US"/>
                      <a:t>%</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6448-49C3-9E73-E7F22641D06D}"/>
                </c:ext>
              </c:extLst>
            </c:dLbl>
            <c:dLbl>
              <c:idx val="5"/>
              <c:tx>
                <c:rich>
                  <a:bodyPr/>
                  <a:lstStyle/>
                  <a:p>
                    <a:fld id="{CC388DAB-5FE5-421D-BB03-D300BB999262}" type="VALUE">
                      <a:rPr lang="en-US"/>
                      <a:pPr/>
                      <a:t>[]</a:t>
                    </a:fld>
                    <a:r>
                      <a:rPr lang="en-US"/>
                      <a:t>%</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6448-49C3-9E73-E7F22641D06D}"/>
                </c:ext>
              </c:extLst>
            </c:dLbl>
            <c:dLbl>
              <c:idx val="6"/>
              <c:tx>
                <c:rich>
                  <a:bodyPr/>
                  <a:lstStyle/>
                  <a:p>
                    <a:fld id="{EE1FD1D1-ADCF-4244-B9C8-F2F5E8C2DDD2}" type="VALUE">
                      <a:rPr lang="en-US"/>
                      <a:pPr/>
                      <a:t>[]</a:t>
                    </a:fld>
                    <a:r>
                      <a:rPr lang="en-US"/>
                      <a:t>%</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6448-49C3-9E73-E7F22641D06D}"/>
                </c:ext>
              </c:extLst>
            </c:dLbl>
            <c:dLbl>
              <c:idx val="7"/>
              <c:tx>
                <c:rich>
                  <a:bodyPr/>
                  <a:lstStyle/>
                  <a:p>
                    <a:fld id="{FED97F4B-4614-4C22-87F6-6E61C6E4DB49}" type="VALUE">
                      <a:rPr lang="en-US"/>
                      <a:pPr/>
                      <a:t>[]</a:t>
                    </a:fld>
                    <a:r>
                      <a:rPr lang="en-US"/>
                      <a:t>%</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6448-49C3-9E73-E7F22641D06D}"/>
                </c:ext>
              </c:extLst>
            </c:dLbl>
            <c:dLbl>
              <c:idx val="8"/>
              <c:tx>
                <c:rich>
                  <a:bodyPr/>
                  <a:lstStyle/>
                  <a:p>
                    <a:fld id="{B5394A7B-5F2B-4B48-8AE6-CC550BC8EE46}" type="VALUE">
                      <a:rPr lang="en-US"/>
                      <a:pPr/>
                      <a:t>[]</a:t>
                    </a:fld>
                    <a:r>
                      <a:rPr lang="en-US"/>
                      <a:t>%</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6448-49C3-9E73-E7F22641D06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'Neat copy'!$M$66:$M$74</c:f>
              <c:strCache>
                <c:ptCount val="9"/>
                <c:pt idx="0">
                  <c:v>Baseline</c:v>
                </c:pt>
                <c:pt idx="1">
                  <c:v>waterless urinals </c:v>
                </c:pt>
                <c:pt idx="2">
                  <c:v>Dual flush toilets</c:v>
                </c:pt>
                <c:pt idx="3">
                  <c:v>Electric showers</c:v>
                </c:pt>
                <c:pt idx="4">
                  <c:v>Behavioural change</c:v>
                </c:pt>
                <c:pt idx="5">
                  <c:v>Sensor taps</c:v>
                </c:pt>
                <c:pt idx="6">
                  <c:v>Eco washing machine</c:v>
                </c:pt>
                <c:pt idx="7">
                  <c:v>Eco dishwasher</c:v>
                </c:pt>
                <c:pt idx="8">
                  <c:v>All intervensions</c:v>
                </c:pt>
              </c:strCache>
            </c:strRef>
          </c:cat>
          <c:val>
            <c:numRef>
              <c:f>'Neat copy'!$N$66:$N$74</c:f>
              <c:numCache>
                <c:formatCode>0.0</c:formatCode>
                <c:ptCount val="9"/>
                <c:pt idx="0">
                  <c:v>100</c:v>
                </c:pt>
                <c:pt idx="1">
                  <c:v>38.274859807035966</c:v>
                </c:pt>
                <c:pt idx="2">
                  <c:v>29.113428980622004</c:v>
                </c:pt>
                <c:pt idx="3">
                  <c:v>0.3376448707523565</c:v>
                </c:pt>
                <c:pt idx="4">
                  <c:v>0.84411217688089835</c:v>
                </c:pt>
                <c:pt idx="5">
                  <c:v>8.2898850037844483</c:v>
                </c:pt>
                <c:pt idx="6">
                  <c:v>0.92852339456898392</c:v>
                </c:pt>
                <c:pt idx="7">
                  <c:v>0.42205608844044207</c:v>
                </c:pt>
                <c:pt idx="8">
                  <c:v>47.493268205389384</c:v>
                </c:pt>
              </c:numCache>
            </c:numRef>
          </c:val>
          <c:extLst>
            <c:ext xmlns:c16="http://schemas.microsoft.com/office/drawing/2014/chart" uri="{C3380CC4-5D6E-409C-BE32-E72D297353CC}">
              <c16:uniqueId val="{00000000-6448-49C3-9E73-E7F22641D06D}"/>
            </c:ext>
          </c:extLst>
        </c:ser>
        <c:dLbls>
          <c:dLblPos val="outEnd"/>
          <c:showLegendKey val="0"/>
          <c:showVal val="1"/>
          <c:showCatName val="0"/>
          <c:showSerName val="0"/>
          <c:showPercent val="0"/>
          <c:showBubbleSize val="0"/>
        </c:dLbls>
        <c:gapWidth val="219"/>
        <c:overlap val="-27"/>
        <c:axId val="1009957720"/>
        <c:axId val="1009951240"/>
      </c:barChart>
      <c:catAx>
        <c:axId val="1009957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9951240"/>
        <c:crosses val="autoZero"/>
        <c:auto val="1"/>
        <c:lblAlgn val="ctr"/>
        <c:lblOffset val="100"/>
        <c:noMultiLvlLbl val="0"/>
      </c:catAx>
      <c:valAx>
        <c:axId val="1009951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 decrease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99577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GB"/>
              <a:t>Water types Produced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GB"/>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FF7-40A3-B69D-B7F276E37B4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FF7-40A3-B69D-B7F276E37B4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FF7-40A3-B69D-B7F276E37B49}"/>
              </c:ext>
            </c:extLst>
          </c:dPt>
          <c:dLbls>
            <c:spPr>
              <a:solidFill>
                <a:schemeClr val="dk1"/>
              </a:solidFill>
              <a:ln w="19050" cap="flat" cmpd="sng" algn="ctr">
                <a:solidFill>
                  <a:schemeClr val="dk1">
                    <a:shade val="15000"/>
                  </a:schemeClr>
                </a:solidFill>
                <a:prstDash val="solid"/>
                <a:miter lim="800000"/>
              </a:ln>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'Neat copy'!$D$19:$D$21</c:f>
              <c:strCache>
                <c:ptCount val="3"/>
                <c:pt idx="0">
                  <c:v>Greywater </c:v>
                </c:pt>
                <c:pt idx="1">
                  <c:v>Blackwater </c:v>
                </c:pt>
                <c:pt idx="2">
                  <c:v>No reusable</c:v>
                </c:pt>
              </c:strCache>
            </c:strRef>
          </c:cat>
          <c:val>
            <c:numRef>
              <c:f>'Neat copy'!$E$19:$E$21</c:f>
              <c:numCache>
                <c:formatCode>General</c:formatCode>
                <c:ptCount val="3"/>
                <c:pt idx="0">
                  <c:v>3558.55</c:v>
                </c:pt>
                <c:pt idx="1">
                  <c:v>9297.5</c:v>
                </c:pt>
                <c:pt idx="2">
                  <c:v>5655</c:v>
                </c:pt>
              </c:numCache>
            </c:numRef>
          </c:val>
          <c:extLst>
            <c:ext xmlns:c16="http://schemas.microsoft.com/office/drawing/2014/chart" uri="{C3380CC4-5D6E-409C-BE32-E72D297353CC}">
              <c16:uniqueId val="{00000000-D38D-44A0-804B-CDE4136F3E4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Saving with Intervensions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Graphs!$C$1</c:f>
              <c:strCache>
                <c:ptCount val="1"/>
                <c:pt idx="0">
                  <c:v>Baseline</c:v>
                </c:pt>
              </c:strCache>
            </c:strRef>
          </c:tx>
          <c:spPr>
            <a:solidFill>
              <a:schemeClr val="accent1">
                <a:alpha val="85000"/>
              </a:schemeClr>
            </a:solidFill>
            <a:ln w="9525" cap="flat" cmpd="sng" algn="ctr">
              <a:solidFill>
                <a:schemeClr val="lt1">
                  <a:alpha val="50000"/>
                </a:schemeClr>
              </a:solidFill>
              <a:round/>
            </a:ln>
            <a:effectLst/>
          </c:spPr>
          <c:invertIfNegative val="0"/>
          <c:dLbls>
            <c:dLbl>
              <c:idx val="0"/>
              <c:layout>
                <c:manualLayout>
                  <c:x val="0"/>
                  <c:y val="3.508598731295186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7D3-45E1-AF68-FBF753101094}"/>
                </c:ext>
              </c:extLst>
            </c:dLbl>
            <c:dLbl>
              <c:idx val="1"/>
              <c:layout>
                <c:manualLayout>
                  <c:x val="-2.1147232360127707E-3"/>
                  <c:y val="7.070485532849721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7D3-45E1-AF68-FBF753101094}"/>
                </c:ext>
              </c:extLst>
            </c:dLbl>
            <c:dLbl>
              <c:idx val="3"/>
              <c:layout>
                <c:manualLayout>
                  <c:x val="0"/>
                  <c:y val="-2.200012003838984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7D3-45E1-AF68-FBF753101094}"/>
                </c:ext>
              </c:extLst>
            </c:dLbl>
            <c:dLbl>
              <c:idx val="5"/>
              <c:layout>
                <c:manualLayout>
                  <c:x val="-4.2294464720255415E-3"/>
                  <c:y val="-3.666219233852172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7D3-45E1-AF68-FBF753101094}"/>
                </c:ext>
              </c:extLst>
            </c:dLbl>
            <c:dLbl>
              <c:idx val="6"/>
              <c:layout>
                <c:manualLayout>
                  <c:x val="-2.1147232360127707E-3"/>
                  <c:y val="3.508598731295186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7D3-45E1-AF68-FBF75310109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Graphs!$A$2:$A$8</c:f>
              <c:strCache>
                <c:ptCount val="7"/>
                <c:pt idx="0">
                  <c:v>Toilet flushing </c:v>
                </c:pt>
                <c:pt idx="1">
                  <c:v>Taps</c:v>
                </c:pt>
                <c:pt idx="2">
                  <c:v>Washing Machines</c:v>
                </c:pt>
                <c:pt idx="3">
                  <c:v>Canteen</c:v>
                </c:pt>
                <c:pt idx="4">
                  <c:v>Showers</c:v>
                </c:pt>
                <c:pt idx="5">
                  <c:v>Café</c:v>
                </c:pt>
                <c:pt idx="6">
                  <c:v>Total</c:v>
                </c:pt>
              </c:strCache>
            </c:strRef>
          </c:cat>
          <c:val>
            <c:numRef>
              <c:f>Graphs!$C$2:$C$8</c:f>
              <c:numCache>
                <c:formatCode>General</c:formatCode>
                <c:ptCount val="7"/>
                <c:pt idx="0">
                  <c:v>21213</c:v>
                </c:pt>
                <c:pt idx="1">
                  <c:v>4714</c:v>
                </c:pt>
                <c:pt idx="2">
                  <c:v>100</c:v>
                </c:pt>
                <c:pt idx="3">
                  <c:v>1061.25</c:v>
                </c:pt>
                <c:pt idx="4">
                  <c:v>600</c:v>
                </c:pt>
                <c:pt idx="5">
                  <c:v>2193.75</c:v>
                </c:pt>
                <c:pt idx="6">
                  <c:v>35540.300000000003</c:v>
                </c:pt>
              </c:numCache>
            </c:numRef>
          </c:val>
          <c:extLst>
            <c:ext xmlns:c16="http://schemas.microsoft.com/office/drawing/2014/chart" uri="{C3380CC4-5D6E-409C-BE32-E72D297353CC}">
              <c16:uniqueId val="{00000000-4AF7-4704-B09F-71DE502C88B5}"/>
            </c:ext>
          </c:extLst>
        </c:ser>
        <c:ser>
          <c:idx val="1"/>
          <c:order val="1"/>
          <c:tx>
            <c:strRef>
              <c:f>Graphs!$D$1</c:f>
              <c:strCache>
                <c:ptCount val="1"/>
                <c:pt idx="0">
                  <c:v>Intervension</c:v>
                </c:pt>
              </c:strCache>
            </c:strRef>
          </c:tx>
          <c:spPr>
            <a:solidFill>
              <a:schemeClr val="accent2">
                <a:alpha val="85000"/>
              </a:schemeClr>
            </a:solidFill>
            <a:ln w="9525" cap="flat" cmpd="sng" algn="ctr">
              <a:solidFill>
                <a:schemeClr val="lt1">
                  <a:alpha val="50000"/>
                </a:schemeClr>
              </a:solidFill>
              <a:round/>
            </a:ln>
            <a:effectLst/>
          </c:spPr>
          <c:invertIfNegative val="0"/>
          <c:dLbls>
            <c:dLbl>
              <c:idx val="0"/>
              <c:layout>
                <c:manualLayout>
                  <c:x val="0"/>
                  <c:y val="7.070485532849851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7D3-45E1-AF68-FBF753101094}"/>
                </c:ext>
              </c:extLst>
            </c:dLbl>
            <c:dLbl>
              <c:idx val="1"/>
              <c:layout>
                <c:manualLayout>
                  <c:x val="1.2688339416076626E-2"/>
                  <c:y val="1.08085034297884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7D3-45E1-AF68-FBF753101094}"/>
                </c:ext>
              </c:extLst>
            </c:dLbl>
            <c:dLbl>
              <c:idx val="5"/>
              <c:layout>
                <c:manualLayout>
                  <c:x val="0"/>
                  <c:y val="9.509396369567912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7D3-45E1-AF68-FBF753101094}"/>
                </c:ext>
              </c:extLst>
            </c:dLbl>
            <c:dLbl>
              <c:idx val="6"/>
              <c:layout>
                <c:manualLayout>
                  <c:x val="1.0573616180063855E-2"/>
                  <c:y val="7.070485532849786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7D3-45E1-AF68-FBF75310109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Graphs!$A$2:$A$8</c:f>
              <c:strCache>
                <c:ptCount val="7"/>
                <c:pt idx="0">
                  <c:v>Toilet flushing </c:v>
                </c:pt>
                <c:pt idx="1">
                  <c:v>Taps</c:v>
                </c:pt>
                <c:pt idx="2">
                  <c:v>Washing Machines</c:v>
                </c:pt>
                <c:pt idx="3">
                  <c:v>Canteen</c:v>
                </c:pt>
                <c:pt idx="4">
                  <c:v>Showers</c:v>
                </c:pt>
                <c:pt idx="5">
                  <c:v>Café</c:v>
                </c:pt>
                <c:pt idx="6">
                  <c:v>Total</c:v>
                </c:pt>
              </c:strCache>
            </c:strRef>
          </c:cat>
          <c:val>
            <c:numRef>
              <c:f>Graphs!$D$2:$D$8</c:f>
              <c:numCache>
                <c:formatCode>General</c:formatCode>
                <c:ptCount val="7"/>
                <c:pt idx="0">
                  <c:v>7610</c:v>
                </c:pt>
                <c:pt idx="1">
                  <c:v>1767.75</c:v>
                </c:pt>
                <c:pt idx="2">
                  <c:v>70</c:v>
                </c:pt>
                <c:pt idx="3">
                  <c:v>911.25</c:v>
                </c:pt>
                <c:pt idx="4">
                  <c:v>300</c:v>
                </c:pt>
                <c:pt idx="5">
                  <c:v>1687.5</c:v>
                </c:pt>
                <c:pt idx="6">
                  <c:v>18511.05</c:v>
                </c:pt>
              </c:numCache>
            </c:numRef>
          </c:val>
          <c:extLst>
            <c:ext xmlns:c16="http://schemas.microsoft.com/office/drawing/2014/chart" uri="{C3380CC4-5D6E-409C-BE32-E72D297353CC}">
              <c16:uniqueId val="{00000001-4AF7-4704-B09F-71DE502C88B5}"/>
            </c:ext>
          </c:extLst>
        </c:ser>
        <c:dLbls>
          <c:dLblPos val="inEnd"/>
          <c:showLegendKey val="0"/>
          <c:showVal val="1"/>
          <c:showCatName val="0"/>
          <c:showSerName val="0"/>
          <c:showPercent val="0"/>
          <c:showBubbleSize val="0"/>
        </c:dLbls>
        <c:gapWidth val="65"/>
        <c:axId val="1035885568"/>
        <c:axId val="1035890968"/>
      </c:barChart>
      <c:catAx>
        <c:axId val="103588556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35890968"/>
        <c:crosses val="autoZero"/>
        <c:auto val="1"/>
        <c:lblAlgn val="ctr"/>
        <c:lblOffset val="100"/>
        <c:noMultiLvlLbl val="0"/>
      </c:catAx>
      <c:valAx>
        <c:axId val="103589096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GB"/>
                  <a:t>Usage l/day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1035885568"/>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Graphs!$E$1</c:f>
              <c:strCache>
                <c:ptCount val="1"/>
                <c:pt idx="0">
                  <c:v>Percentage of savings from baseline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Graphs!$A$2:$A$8</c:f>
              <c:strCache>
                <c:ptCount val="7"/>
                <c:pt idx="0">
                  <c:v>Toilet flushing </c:v>
                </c:pt>
                <c:pt idx="1">
                  <c:v>Taps</c:v>
                </c:pt>
                <c:pt idx="2">
                  <c:v>Washing Machines</c:v>
                </c:pt>
                <c:pt idx="3">
                  <c:v>Canteen</c:v>
                </c:pt>
                <c:pt idx="4">
                  <c:v>Showers</c:v>
                </c:pt>
                <c:pt idx="5">
                  <c:v>Café</c:v>
                </c:pt>
                <c:pt idx="6">
                  <c:v>Total</c:v>
                </c:pt>
              </c:strCache>
            </c:strRef>
          </c:cat>
          <c:val>
            <c:numRef>
              <c:f>Graphs!$E$2:$E$8</c:f>
              <c:numCache>
                <c:formatCode>0.00</c:formatCode>
                <c:ptCount val="7"/>
                <c:pt idx="0">
                  <c:v>64.125771932305668</c:v>
                </c:pt>
                <c:pt idx="1">
                  <c:v>62.5</c:v>
                </c:pt>
                <c:pt idx="2">
                  <c:v>30</c:v>
                </c:pt>
                <c:pt idx="3">
                  <c:v>14.134275618374559</c:v>
                </c:pt>
                <c:pt idx="4">
                  <c:v>50</c:v>
                </c:pt>
                <c:pt idx="5">
                  <c:v>23.076923076923066</c:v>
                </c:pt>
                <c:pt idx="6">
                  <c:v>47.915324293829833</c:v>
                </c:pt>
              </c:numCache>
            </c:numRef>
          </c:val>
          <c:extLst>
            <c:ext xmlns:c16="http://schemas.microsoft.com/office/drawing/2014/chart" uri="{C3380CC4-5D6E-409C-BE32-E72D297353CC}">
              <c16:uniqueId val="{00000000-90A3-43C1-8B85-F11795BF942C}"/>
            </c:ext>
          </c:extLst>
        </c:ser>
        <c:dLbls>
          <c:dLblPos val="inEnd"/>
          <c:showLegendKey val="0"/>
          <c:showVal val="1"/>
          <c:showCatName val="0"/>
          <c:showSerName val="0"/>
          <c:showPercent val="0"/>
          <c:showBubbleSize val="0"/>
        </c:dLbls>
        <c:gapWidth val="65"/>
        <c:axId val="121915824"/>
        <c:axId val="121915344"/>
      </c:barChart>
      <c:catAx>
        <c:axId val="12191582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1915344"/>
        <c:crosses val="autoZero"/>
        <c:auto val="1"/>
        <c:lblAlgn val="ctr"/>
        <c:lblOffset val="100"/>
        <c:noMultiLvlLbl val="0"/>
      </c:catAx>
      <c:valAx>
        <c:axId val="1219153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121915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Toilet</a:t>
            </a:r>
            <a:r>
              <a:rPr lang="en-GB" baseline="0"/>
              <a:t> flushing demand over a 24 hr period</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spPr>
            <a:ln w="28575" cap="rnd">
              <a:solidFill>
                <a:schemeClr val="accent1"/>
              </a:solidFill>
              <a:round/>
            </a:ln>
            <a:effectLst/>
          </c:spPr>
          <c:marker>
            <c:symbol val="none"/>
          </c:marker>
          <c:cat>
            <c:numRef>
              <c:f>'Daily toilet habits'!$A$2:$A$25</c:f>
              <c:numCache>
                <c:formatCode>[$-F400]h:mm:ss\ AM/PM</c:formatCode>
                <c:ptCount val="24"/>
                <c:pt idx="0">
                  <c:v>1</c:v>
                </c:pt>
                <c:pt idx="1">
                  <c:v>1.0416666666666667</c:v>
                </c:pt>
                <c:pt idx="2">
                  <c:v>1.0833333333333299</c:v>
                </c:pt>
                <c:pt idx="3">
                  <c:v>1.125</c:v>
                </c:pt>
                <c:pt idx="4">
                  <c:v>1.1666666666666701</c:v>
                </c:pt>
                <c:pt idx="5">
                  <c:v>1.2083333333333299</c:v>
                </c:pt>
                <c:pt idx="6">
                  <c:v>1.25</c:v>
                </c:pt>
                <c:pt idx="7">
                  <c:v>1.2916666666666701</c:v>
                </c:pt>
                <c:pt idx="8">
                  <c:v>1.3333333333333299</c:v>
                </c:pt>
                <c:pt idx="9">
                  <c:v>1.375</c:v>
                </c:pt>
                <c:pt idx="10">
                  <c:v>1.4166666666666701</c:v>
                </c:pt>
                <c:pt idx="11">
                  <c:v>1.4583333333333299</c:v>
                </c:pt>
                <c:pt idx="12">
                  <c:v>1.5</c:v>
                </c:pt>
                <c:pt idx="13">
                  <c:v>1.5416666666666701</c:v>
                </c:pt>
                <c:pt idx="14">
                  <c:v>1.5833333333333299</c:v>
                </c:pt>
                <c:pt idx="15">
                  <c:v>1.625</c:v>
                </c:pt>
                <c:pt idx="16">
                  <c:v>1.6666666666666701</c:v>
                </c:pt>
                <c:pt idx="17">
                  <c:v>1.7083333333333299</c:v>
                </c:pt>
                <c:pt idx="18">
                  <c:v>1.75</c:v>
                </c:pt>
                <c:pt idx="19">
                  <c:v>1.7916666666666701</c:v>
                </c:pt>
                <c:pt idx="20">
                  <c:v>1.8333333333333299</c:v>
                </c:pt>
                <c:pt idx="21">
                  <c:v>1.875</c:v>
                </c:pt>
                <c:pt idx="22">
                  <c:v>1.9166666666666701</c:v>
                </c:pt>
                <c:pt idx="23">
                  <c:v>1.9583333333333299</c:v>
                </c:pt>
              </c:numCache>
            </c:numRef>
          </c:cat>
          <c:val>
            <c:numRef>
              <c:f>'Daily toilet habits'!$C$2:$C$25</c:f>
              <c:numCache>
                <c:formatCode>General</c:formatCode>
                <c:ptCount val="24"/>
                <c:pt idx="0">
                  <c:v>0</c:v>
                </c:pt>
                <c:pt idx="1">
                  <c:v>0</c:v>
                </c:pt>
                <c:pt idx="2">
                  <c:v>0</c:v>
                </c:pt>
                <c:pt idx="3">
                  <c:v>0</c:v>
                </c:pt>
                <c:pt idx="4">
                  <c:v>0</c:v>
                </c:pt>
                <c:pt idx="5">
                  <c:v>152.20000000000002</c:v>
                </c:pt>
                <c:pt idx="6">
                  <c:v>304.40000000000003</c:v>
                </c:pt>
                <c:pt idx="7">
                  <c:v>456.59999999999997</c:v>
                </c:pt>
                <c:pt idx="8">
                  <c:v>684.9</c:v>
                </c:pt>
                <c:pt idx="9">
                  <c:v>913.19999999999993</c:v>
                </c:pt>
                <c:pt idx="10">
                  <c:v>532.70000000000005</c:v>
                </c:pt>
                <c:pt idx="11">
                  <c:v>761</c:v>
                </c:pt>
                <c:pt idx="12">
                  <c:v>989.30000000000007</c:v>
                </c:pt>
                <c:pt idx="13">
                  <c:v>761</c:v>
                </c:pt>
                <c:pt idx="14">
                  <c:v>456.59999999999997</c:v>
                </c:pt>
                <c:pt idx="15">
                  <c:v>532.70000000000005</c:v>
                </c:pt>
                <c:pt idx="16">
                  <c:v>608.80000000000007</c:v>
                </c:pt>
                <c:pt idx="17">
                  <c:v>304.40000000000003</c:v>
                </c:pt>
                <c:pt idx="18">
                  <c:v>152.20000000000002</c:v>
                </c:pt>
                <c:pt idx="19">
                  <c:v>0</c:v>
                </c:pt>
                <c:pt idx="20">
                  <c:v>0</c:v>
                </c:pt>
                <c:pt idx="21">
                  <c:v>0</c:v>
                </c:pt>
                <c:pt idx="22">
                  <c:v>0</c:v>
                </c:pt>
                <c:pt idx="23">
                  <c:v>0</c:v>
                </c:pt>
              </c:numCache>
            </c:numRef>
          </c:val>
          <c:smooth val="0"/>
          <c:extLst>
            <c:ext xmlns:c16="http://schemas.microsoft.com/office/drawing/2014/chart" uri="{C3380CC4-5D6E-409C-BE32-E72D297353CC}">
              <c16:uniqueId val="{00000000-43C0-477E-9BBA-0CAF94983DC3}"/>
            </c:ext>
          </c:extLst>
        </c:ser>
        <c:dLbls>
          <c:showLegendKey val="0"/>
          <c:showVal val="0"/>
          <c:showCatName val="0"/>
          <c:showSerName val="0"/>
          <c:showPercent val="0"/>
          <c:showBubbleSize val="0"/>
        </c:dLbls>
        <c:smooth val="0"/>
        <c:axId val="918947775"/>
        <c:axId val="918946815"/>
      </c:lineChart>
      <c:catAx>
        <c:axId val="918947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Time</a:t>
                </a:r>
                <a:r>
                  <a:rPr lang="en-GB" baseline="0"/>
                  <a:t> (hr)</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F400]h:mm:ss\ AM/PM"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946815"/>
        <c:crosses val="autoZero"/>
        <c:auto val="1"/>
        <c:lblAlgn val="ctr"/>
        <c:lblOffset val="100"/>
        <c:noMultiLvlLbl val="0"/>
      </c:catAx>
      <c:valAx>
        <c:axId val="9189468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Toilet</a:t>
                </a:r>
                <a:r>
                  <a:rPr lang="en-GB" baseline="0"/>
                  <a:t> flushing demand (l/hr)</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9477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Tank</a:t>
            </a:r>
            <a:r>
              <a:rPr lang="en-GB" baseline="0"/>
              <a:t> level over 24 hr period (l/hr)</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1"/>
          <c:order val="0"/>
          <c:tx>
            <c:strRef>
              <c:f>'Daily toilet habits'!$C$1</c:f>
              <c:strCache>
                <c:ptCount val="1"/>
                <c:pt idx="0">
                  <c:v>Toilet flushing demand (l/hr)</c:v>
                </c:pt>
              </c:strCache>
            </c:strRef>
          </c:tx>
          <c:spPr>
            <a:ln w="28575" cap="rnd">
              <a:solidFill>
                <a:schemeClr val="accent2"/>
              </a:solidFill>
              <a:round/>
            </a:ln>
            <a:effectLst/>
          </c:spPr>
          <c:marker>
            <c:symbol val="none"/>
          </c:marker>
          <c:val>
            <c:numRef>
              <c:f>'Daily toilet habits'!$C$2:$C$25</c:f>
              <c:numCache>
                <c:formatCode>General</c:formatCode>
                <c:ptCount val="24"/>
                <c:pt idx="0">
                  <c:v>0</c:v>
                </c:pt>
                <c:pt idx="1">
                  <c:v>0</c:v>
                </c:pt>
                <c:pt idx="2">
                  <c:v>0</c:v>
                </c:pt>
                <c:pt idx="3">
                  <c:v>0</c:v>
                </c:pt>
                <c:pt idx="4">
                  <c:v>0</c:v>
                </c:pt>
                <c:pt idx="5">
                  <c:v>152.20000000000002</c:v>
                </c:pt>
                <c:pt idx="6">
                  <c:v>304.40000000000003</c:v>
                </c:pt>
                <c:pt idx="7">
                  <c:v>456.59999999999997</c:v>
                </c:pt>
                <c:pt idx="8">
                  <c:v>684.9</c:v>
                </c:pt>
                <c:pt idx="9">
                  <c:v>913.19999999999993</c:v>
                </c:pt>
                <c:pt idx="10">
                  <c:v>532.70000000000005</c:v>
                </c:pt>
                <c:pt idx="11">
                  <c:v>761</c:v>
                </c:pt>
                <c:pt idx="12">
                  <c:v>989.30000000000007</c:v>
                </c:pt>
                <c:pt idx="13">
                  <c:v>761</c:v>
                </c:pt>
                <c:pt idx="14">
                  <c:v>456.59999999999997</c:v>
                </c:pt>
                <c:pt idx="15">
                  <c:v>532.70000000000005</c:v>
                </c:pt>
                <c:pt idx="16">
                  <c:v>608.80000000000007</c:v>
                </c:pt>
                <c:pt idx="17">
                  <c:v>304.40000000000003</c:v>
                </c:pt>
                <c:pt idx="18">
                  <c:v>152.20000000000002</c:v>
                </c:pt>
                <c:pt idx="19">
                  <c:v>0</c:v>
                </c:pt>
                <c:pt idx="20">
                  <c:v>0</c:v>
                </c:pt>
                <c:pt idx="21">
                  <c:v>0</c:v>
                </c:pt>
                <c:pt idx="22">
                  <c:v>0</c:v>
                </c:pt>
                <c:pt idx="23">
                  <c:v>0</c:v>
                </c:pt>
              </c:numCache>
            </c:numRef>
          </c:val>
          <c:smooth val="0"/>
          <c:extLst>
            <c:ext xmlns:c16="http://schemas.microsoft.com/office/drawing/2014/chart" uri="{C3380CC4-5D6E-409C-BE32-E72D297353CC}">
              <c16:uniqueId val="{00000001-67FA-4090-9565-495BFE9B021F}"/>
            </c:ext>
          </c:extLst>
        </c:ser>
        <c:ser>
          <c:idx val="2"/>
          <c:order val="1"/>
          <c:tx>
            <c:strRef>
              <c:f>'Daily toilet habits'!$D$1</c:f>
              <c:strCache>
                <c:ptCount val="1"/>
                <c:pt idx="0">
                  <c:v>Greywater in tank</c:v>
                </c:pt>
              </c:strCache>
            </c:strRef>
          </c:tx>
          <c:spPr>
            <a:ln w="28575" cap="rnd">
              <a:solidFill>
                <a:schemeClr val="accent3"/>
              </a:solidFill>
              <a:round/>
            </a:ln>
            <a:effectLst/>
          </c:spPr>
          <c:marker>
            <c:symbol val="none"/>
          </c:marker>
          <c:val>
            <c:numRef>
              <c:f>'Daily toilet habits'!$D$2:$D$25</c:f>
              <c:numCache>
                <c:formatCode>General</c:formatCode>
                <c:ptCount val="24"/>
                <c:pt idx="0">
                  <c:v>4230</c:v>
                </c:pt>
                <c:pt idx="1">
                  <c:v>5076</c:v>
                </c:pt>
                <c:pt idx="2">
                  <c:v>5922</c:v>
                </c:pt>
                <c:pt idx="3">
                  <c:v>6768</c:v>
                </c:pt>
                <c:pt idx="4">
                  <c:v>7610</c:v>
                </c:pt>
                <c:pt idx="5">
                  <c:v>7610</c:v>
                </c:pt>
                <c:pt idx="6">
                  <c:v>7457.8</c:v>
                </c:pt>
                <c:pt idx="7">
                  <c:v>7153.4000000000005</c:v>
                </c:pt>
                <c:pt idx="8">
                  <c:v>6696.8</c:v>
                </c:pt>
                <c:pt idx="9">
                  <c:v>6011.9000000000005</c:v>
                </c:pt>
                <c:pt idx="10">
                  <c:v>5098.7000000000007</c:v>
                </c:pt>
                <c:pt idx="11">
                  <c:v>4566.0000000000009</c:v>
                </c:pt>
                <c:pt idx="12">
                  <c:v>3805.0000000000009</c:v>
                </c:pt>
                <c:pt idx="13">
                  <c:v>2815.7000000000007</c:v>
                </c:pt>
                <c:pt idx="14">
                  <c:v>2054.7000000000007</c:v>
                </c:pt>
                <c:pt idx="15">
                  <c:v>1598.1000000000008</c:v>
                </c:pt>
                <c:pt idx="16">
                  <c:v>1065.4000000000008</c:v>
                </c:pt>
                <c:pt idx="17">
                  <c:v>456.6000000000007</c:v>
                </c:pt>
                <c:pt idx="18">
                  <c:v>152.20000000000067</c:v>
                </c:pt>
                <c:pt idx="19">
                  <c:v>0</c:v>
                </c:pt>
                <c:pt idx="20">
                  <c:v>846</c:v>
                </c:pt>
                <c:pt idx="21">
                  <c:v>1692</c:v>
                </c:pt>
                <c:pt idx="22">
                  <c:v>2538</c:v>
                </c:pt>
                <c:pt idx="23">
                  <c:v>3384</c:v>
                </c:pt>
              </c:numCache>
            </c:numRef>
          </c:val>
          <c:smooth val="0"/>
          <c:extLst>
            <c:ext xmlns:c16="http://schemas.microsoft.com/office/drawing/2014/chart" uri="{C3380CC4-5D6E-409C-BE32-E72D297353CC}">
              <c16:uniqueId val="{00000002-67FA-4090-9565-495BFE9B021F}"/>
            </c:ext>
          </c:extLst>
        </c:ser>
        <c:dLbls>
          <c:showLegendKey val="0"/>
          <c:showVal val="0"/>
          <c:showCatName val="0"/>
          <c:showSerName val="0"/>
          <c:showPercent val="0"/>
          <c:showBubbleSize val="0"/>
        </c:dLbls>
        <c:smooth val="0"/>
        <c:axId val="774619136"/>
        <c:axId val="774620216"/>
      </c:lineChart>
      <c:catAx>
        <c:axId val="7746191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Time</a:t>
                </a:r>
                <a:r>
                  <a:rPr lang="en-GB" baseline="0"/>
                  <a:t> (hr)</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620216"/>
        <c:crosses val="autoZero"/>
        <c:auto val="1"/>
        <c:lblAlgn val="ctr"/>
        <c:lblOffset val="100"/>
        <c:noMultiLvlLbl val="0"/>
      </c:catAx>
      <c:valAx>
        <c:axId val="774620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Litres</a:t>
                </a:r>
                <a:r>
                  <a:rPr lang="en-GB" baseline="0"/>
                  <a:t> in tank (l)</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619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'Daily toilet habits'!$B$1</c:f>
              <c:strCache>
                <c:ptCount val="1"/>
                <c:pt idx="0">
                  <c:v>Water usage (l/hr) </c:v>
                </c:pt>
              </c:strCache>
            </c:strRef>
          </c:tx>
          <c:spPr>
            <a:ln w="28575" cap="rnd">
              <a:solidFill>
                <a:schemeClr val="accent2"/>
              </a:solidFill>
              <a:round/>
            </a:ln>
            <a:effectLst/>
          </c:spPr>
          <c:marker>
            <c:symbol val="none"/>
          </c:marker>
          <c:val>
            <c:numRef>
              <c:f>'Daily toilet habits'!$B$2:$B$25</c:f>
              <c:numCache>
                <c:formatCode>General</c:formatCode>
                <c:ptCount val="24"/>
                <c:pt idx="0">
                  <c:v>0</c:v>
                </c:pt>
                <c:pt idx="1">
                  <c:v>0</c:v>
                </c:pt>
                <c:pt idx="2">
                  <c:v>0</c:v>
                </c:pt>
                <c:pt idx="3">
                  <c:v>0</c:v>
                </c:pt>
                <c:pt idx="4">
                  <c:v>0</c:v>
                </c:pt>
                <c:pt idx="5">
                  <c:v>370.221</c:v>
                </c:pt>
                <c:pt idx="6">
                  <c:v>740.44200000000001</c:v>
                </c:pt>
                <c:pt idx="7">
                  <c:v>1110.663</c:v>
                </c:pt>
                <c:pt idx="8">
                  <c:v>1665.9944999999998</c:v>
                </c:pt>
                <c:pt idx="9">
                  <c:v>2221.326</c:v>
                </c:pt>
                <c:pt idx="10">
                  <c:v>1295.7735</c:v>
                </c:pt>
                <c:pt idx="11">
                  <c:v>1851.105</c:v>
                </c:pt>
                <c:pt idx="12">
                  <c:v>2406.4364999999998</c:v>
                </c:pt>
                <c:pt idx="13">
                  <c:v>1851.105</c:v>
                </c:pt>
                <c:pt idx="14">
                  <c:v>1110.663</c:v>
                </c:pt>
                <c:pt idx="15">
                  <c:v>1295.7735</c:v>
                </c:pt>
                <c:pt idx="16">
                  <c:v>1480.884</c:v>
                </c:pt>
                <c:pt idx="17">
                  <c:v>740.44200000000001</c:v>
                </c:pt>
                <c:pt idx="18">
                  <c:v>370.221</c:v>
                </c:pt>
                <c:pt idx="19">
                  <c:v>0</c:v>
                </c:pt>
                <c:pt idx="20">
                  <c:v>0</c:v>
                </c:pt>
                <c:pt idx="21">
                  <c:v>0</c:v>
                </c:pt>
                <c:pt idx="22">
                  <c:v>0</c:v>
                </c:pt>
                <c:pt idx="23">
                  <c:v>0</c:v>
                </c:pt>
              </c:numCache>
            </c:numRef>
          </c:val>
          <c:smooth val="0"/>
          <c:extLst>
            <c:ext xmlns:c16="http://schemas.microsoft.com/office/drawing/2014/chart" uri="{C3380CC4-5D6E-409C-BE32-E72D297353CC}">
              <c16:uniqueId val="{00000001-9477-49C4-8EDA-2B22EB10E363}"/>
            </c:ext>
          </c:extLst>
        </c:ser>
        <c:dLbls>
          <c:showLegendKey val="0"/>
          <c:showVal val="0"/>
          <c:showCatName val="0"/>
          <c:showSerName val="0"/>
          <c:showPercent val="0"/>
          <c:showBubbleSize val="0"/>
        </c:dLbls>
        <c:smooth val="0"/>
        <c:axId val="987334168"/>
        <c:axId val="987336328"/>
      </c:lineChart>
      <c:catAx>
        <c:axId val="987334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Time</a:t>
                </a:r>
                <a:r>
                  <a:rPr lang="en-GB" baseline="0"/>
                  <a:t> (hr)</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336328"/>
        <c:crosses val="autoZero"/>
        <c:auto val="1"/>
        <c:lblAlgn val="ctr"/>
        <c:lblOffset val="100"/>
        <c:noMultiLvlLbl val="0"/>
      </c:catAx>
      <c:valAx>
        <c:axId val="987336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Water</a:t>
                </a:r>
                <a:r>
                  <a:rPr lang="en-GB" baseline="0"/>
                  <a:t> usage (l)</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334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'Daily toilet habits'!$B$1</c:f>
              <c:strCache>
                <c:ptCount val="1"/>
                <c:pt idx="0">
                  <c:v>Water usage (l/hr) </c:v>
                </c:pt>
              </c:strCache>
            </c:strRef>
          </c:tx>
          <c:spPr>
            <a:ln w="28575" cap="rnd">
              <a:solidFill>
                <a:schemeClr val="accent1"/>
              </a:solidFill>
              <a:round/>
            </a:ln>
            <a:effectLst/>
          </c:spPr>
          <c:marker>
            <c:symbol val="none"/>
          </c:marker>
          <c:cat>
            <c:numRef>
              <c:f>'Daily toilet habits'!$A$2:$A$25</c:f>
              <c:numCache>
                <c:formatCode>[$-F400]h:mm:ss\ AM/PM</c:formatCode>
                <c:ptCount val="24"/>
                <c:pt idx="0">
                  <c:v>1</c:v>
                </c:pt>
                <c:pt idx="1">
                  <c:v>1.0416666666666667</c:v>
                </c:pt>
                <c:pt idx="2">
                  <c:v>1.0833333333333299</c:v>
                </c:pt>
                <c:pt idx="3">
                  <c:v>1.125</c:v>
                </c:pt>
                <c:pt idx="4">
                  <c:v>1.1666666666666701</c:v>
                </c:pt>
                <c:pt idx="5">
                  <c:v>1.2083333333333299</c:v>
                </c:pt>
                <c:pt idx="6">
                  <c:v>1.25</c:v>
                </c:pt>
                <c:pt idx="7">
                  <c:v>1.2916666666666701</c:v>
                </c:pt>
                <c:pt idx="8">
                  <c:v>1.3333333333333299</c:v>
                </c:pt>
                <c:pt idx="9">
                  <c:v>1.375</c:v>
                </c:pt>
                <c:pt idx="10">
                  <c:v>1.4166666666666701</c:v>
                </c:pt>
                <c:pt idx="11">
                  <c:v>1.4583333333333299</c:v>
                </c:pt>
                <c:pt idx="12">
                  <c:v>1.5</c:v>
                </c:pt>
                <c:pt idx="13">
                  <c:v>1.5416666666666701</c:v>
                </c:pt>
                <c:pt idx="14">
                  <c:v>1.5833333333333299</c:v>
                </c:pt>
                <c:pt idx="15">
                  <c:v>1.625</c:v>
                </c:pt>
                <c:pt idx="16">
                  <c:v>1.6666666666666701</c:v>
                </c:pt>
                <c:pt idx="17">
                  <c:v>1.7083333333333299</c:v>
                </c:pt>
                <c:pt idx="18">
                  <c:v>1.75</c:v>
                </c:pt>
                <c:pt idx="19">
                  <c:v>1.7916666666666701</c:v>
                </c:pt>
                <c:pt idx="20">
                  <c:v>1.8333333333333299</c:v>
                </c:pt>
                <c:pt idx="21">
                  <c:v>1.875</c:v>
                </c:pt>
                <c:pt idx="22">
                  <c:v>1.9166666666666701</c:v>
                </c:pt>
                <c:pt idx="23">
                  <c:v>1.9583333333333299</c:v>
                </c:pt>
              </c:numCache>
            </c:numRef>
          </c:cat>
          <c:val>
            <c:numRef>
              <c:f>'Daily toilet habits'!$B$2:$B$25</c:f>
              <c:numCache>
                <c:formatCode>General</c:formatCode>
                <c:ptCount val="24"/>
                <c:pt idx="0">
                  <c:v>0</c:v>
                </c:pt>
                <c:pt idx="1">
                  <c:v>0</c:v>
                </c:pt>
                <c:pt idx="2">
                  <c:v>0</c:v>
                </c:pt>
                <c:pt idx="3">
                  <c:v>0</c:v>
                </c:pt>
                <c:pt idx="4">
                  <c:v>0</c:v>
                </c:pt>
                <c:pt idx="5">
                  <c:v>370.221</c:v>
                </c:pt>
                <c:pt idx="6">
                  <c:v>740.44200000000001</c:v>
                </c:pt>
                <c:pt idx="7">
                  <c:v>1110.663</c:v>
                </c:pt>
                <c:pt idx="8">
                  <c:v>1665.9944999999998</c:v>
                </c:pt>
                <c:pt idx="9">
                  <c:v>2221.326</c:v>
                </c:pt>
                <c:pt idx="10">
                  <c:v>1295.7735</c:v>
                </c:pt>
                <c:pt idx="11">
                  <c:v>1851.105</c:v>
                </c:pt>
                <c:pt idx="12">
                  <c:v>2406.4364999999998</c:v>
                </c:pt>
                <c:pt idx="13">
                  <c:v>1851.105</c:v>
                </c:pt>
                <c:pt idx="14">
                  <c:v>1110.663</c:v>
                </c:pt>
                <c:pt idx="15">
                  <c:v>1295.7735</c:v>
                </c:pt>
                <c:pt idx="16">
                  <c:v>1480.884</c:v>
                </c:pt>
                <c:pt idx="17">
                  <c:v>740.44200000000001</c:v>
                </c:pt>
                <c:pt idx="18">
                  <c:v>370.221</c:v>
                </c:pt>
                <c:pt idx="19">
                  <c:v>0</c:v>
                </c:pt>
                <c:pt idx="20">
                  <c:v>0</c:v>
                </c:pt>
                <c:pt idx="21">
                  <c:v>0</c:v>
                </c:pt>
                <c:pt idx="22">
                  <c:v>0</c:v>
                </c:pt>
                <c:pt idx="23">
                  <c:v>0</c:v>
                </c:pt>
              </c:numCache>
            </c:numRef>
          </c:val>
          <c:smooth val="0"/>
          <c:extLst>
            <c:ext xmlns:c16="http://schemas.microsoft.com/office/drawing/2014/chart" uri="{C3380CC4-5D6E-409C-BE32-E72D297353CC}">
              <c16:uniqueId val="{00000000-6EAF-4B27-B1F4-FC47B382AAD2}"/>
            </c:ext>
          </c:extLst>
        </c:ser>
        <c:dLbls>
          <c:showLegendKey val="0"/>
          <c:showVal val="0"/>
          <c:showCatName val="0"/>
          <c:showSerName val="0"/>
          <c:showPercent val="0"/>
          <c:showBubbleSize val="0"/>
        </c:dLbls>
        <c:smooth val="0"/>
        <c:axId val="1756659551"/>
        <c:axId val="1756662911"/>
      </c:lineChart>
      <c:catAx>
        <c:axId val="1756659551"/>
        <c:scaling>
          <c:orientation val="minMax"/>
        </c:scaling>
        <c:delete val="0"/>
        <c:axPos val="b"/>
        <c:numFmt formatCode="[$-F400]h:mm:ss\ AM/PM"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662911"/>
        <c:crosses val="autoZero"/>
        <c:auto val="1"/>
        <c:lblAlgn val="ctr"/>
        <c:lblOffset val="100"/>
        <c:noMultiLvlLbl val="0"/>
      </c:catAx>
      <c:valAx>
        <c:axId val="1756662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6595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Daily</a:t>
            </a:r>
            <a:r>
              <a:rPr lang="en-GB" baseline="0"/>
              <a:t> greywater tank</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tx>
            <c:strRef>
              <c:f>'Tank Graph'!$A$1</c:f>
              <c:strCache>
                <c:ptCount val="1"/>
                <c:pt idx="0">
                  <c:v>Treater greywater in</c:v>
                </c:pt>
              </c:strCache>
            </c:strRef>
          </c:tx>
          <c:spPr>
            <a:ln w="28575" cap="rnd">
              <a:solidFill>
                <a:schemeClr val="accent1"/>
              </a:solidFill>
              <a:round/>
            </a:ln>
            <a:effectLst/>
          </c:spPr>
          <c:marker>
            <c:symbol val="none"/>
          </c:marker>
          <c:val>
            <c:numRef>
              <c:f>'Tank Graph'!$A$2:$A$25</c:f>
              <c:numCache>
                <c:formatCode>0</c:formatCode>
                <c:ptCount val="24"/>
                <c:pt idx="0">
                  <c:v>862</c:v>
                </c:pt>
                <c:pt idx="1">
                  <c:v>1724</c:v>
                </c:pt>
                <c:pt idx="2">
                  <c:v>2586</c:v>
                </c:pt>
                <c:pt idx="3">
                  <c:v>3448</c:v>
                </c:pt>
                <c:pt idx="4">
                  <c:v>4310</c:v>
                </c:pt>
                <c:pt idx="5">
                  <c:v>5172</c:v>
                </c:pt>
                <c:pt idx="6">
                  <c:v>6034</c:v>
                </c:pt>
                <c:pt idx="7">
                  <c:v>6896</c:v>
                </c:pt>
                <c:pt idx="8">
                  <c:v>7758</c:v>
                </c:pt>
                <c:pt idx="9">
                  <c:v>7605.8</c:v>
                </c:pt>
                <c:pt idx="10">
                  <c:v>7301.4000000000005</c:v>
                </c:pt>
                <c:pt idx="11">
                  <c:v>6844.8</c:v>
                </c:pt>
                <c:pt idx="12">
                  <c:v>6159.9000000000005</c:v>
                </c:pt>
                <c:pt idx="13">
                  <c:v>5246.7000000000007</c:v>
                </c:pt>
                <c:pt idx="14">
                  <c:v>4714.0000000000009</c:v>
                </c:pt>
                <c:pt idx="15">
                  <c:v>3953.0000000000009</c:v>
                </c:pt>
                <c:pt idx="16">
                  <c:v>2963.7000000000007</c:v>
                </c:pt>
                <c:pt idx="17">
                  <c:v>2202.7000000000007</c:v>
                </c:pt>
                <c:pt idx="18">
                  <c:v>1746.1000000000008</c:v>
                </c:pt>
                <c:pt idx="19">
                  <c:v>1213.4000000000008</c:v>
                </c:pt>
                <c:pt idx="20">
                  <c:v>604.6000000000007</c:v>
                </c:pt>
                <c:pt idx="21">
                  <c:v>300.20000000000067</c:v>
                </c:pt>
                <c:pt idx="22">
                  <c:v>148.00000000000065</c:v>
                </c:pt>
                <c:pt idx="23">
                  <c:v>148.00000000000065</c:v>
                </c:pt>
              </c:numCache>
            </c:numRef>
          </c:val>
          <c:smooth val="0"/>
          <c:extLst>
            <c:ext xmlns:c16="http://schemas.microsoft.com/office/drawing/2014/chart" uri="{C3380CC4-5D6E-409C-BE32-E72D297353CC}">
              <c16:uniqueId val="{00000000-4037-429D-B4B8-EC7202F0C2BF}"/>
            </c:ext>
          </c:extLst>
        </c:ser>
        <c:ser>
          <c:idx val="1"/>
          <c:order val="1"/>
          <c:tx>
            <c:strRef>
              <c:f>'Tank Graph'!$B$1</c:f>
              <c:strCache>
                <c:ptCount val="1"/>
                <c:pt idx="0">
                  <c:v>Toilet flushing</c:v>
                </c:pt>
              </c:strCache>
            </c:strRef>
          </c:tx>
          <c:spPr>
            <a:ln w="28575" cap="rnd">
              <a:solidFill>
                <a:schemeClr val="accent2"/>
              </a:solidFill>
              <a:round/>
            </a:ln>
            <a:effectLst/>
          </c:spPr>
          <c:marker>
            <c:symbol val="none"/>
          </c:marker>
          <c:val>
            <c:numRef>
              <c:f>'Tank Graph'!$B$2:$B$25</c:f>
              <c:numCache>
                <c:formatCode>General</c:formatCode>
                <c:ptCount val="24"/>
                <c:pt idx="0" formatCode="0">
                  <c:v>0</c:v>
                </c:pt>
                <c:pt idx="1">
                  <c:v>0</c:v>
                </c:pt>
                <c:pt idx="2">
                  <c:v>0</c:v>
                </c:pt>
                <c:pt idx="3">
                  <c:v>0</c:v>
                </c:pt>
                <c:pt idx="4">
                  <c:v>0</c:v>
                </c:pt>
                <c:pt idx="5">
                  <c:v>0</c:v>
                </c:pt>
                <c:pt idx="6">
                  <c:v>0</c:v>
                </c:pt>
                <c:pt idx="7">
                  <c:v>0</c:v>
                </c:pt>
                <c:pt idx="8">
                  <c:v>0</c:v>
                </c:pt>
                <c:pt idx="9" formatCode="0">
                  <c:v>152.20000000000002</c:v>
                </c:pt>
                <c:pt idx="10">
                  <c:v>304.40000000000003</c:v>
                </c:pt>
                <c:pt idx="11">
                  <c:v>456.59999999999997</c:v>
                </c:pt>
                <c:pt idx="12">
                  <c:v>684.9</c:v>
                </c:pt>
                <c:pt idx="13">
                  <c:v>913.19999999999993</c:v>
                </c:pt>
                <c:pt idx="14">
                  <c:v>532.70000000000005</c:v>
                </c:pt>
                <c:pt idx="15">
                  <c:v>761</c:v>
                </c:pt>
                <c:pt idx="16">
                  <c:v>989.30000000000007</c:v>
                </c:pt>
                <c:pt idx="17">
                  <c:v>761</c:v>
                </c:pt>
                <c:pt idx="18">
                  <c:v>456.59999999999997</c:v>
                </c:pt>
                <c:pt idx="19">
                  <c:v>532.70000000000005</c:v>
                </c:pt>
                <c:pt idx="20">
                  <c:v>608.80000000000007</c:v>
                </c:pt>
                <c:pt idx="21">
                  <c:v>304.40000000000003</c:v>
                </c:pt>
                <c:pt idx="22">
                  <c:v>152.20000000000002</c:v>
                </c:pt>
                <c:pt idx="23">
                  <c:v>0</c:v>
                </c:pt>
              </c:numCache>
            </c:numRef>
          </c:val>
          <c:smooth val="0"/>
          <c:extLst>
            <c:ext xmlns:c16="http://schemas.microsoft.com/office/drawing/2014/chart" uri="{C3380CC4-5D6E-409C-BE32-E72D297353CC}">
              <c16:uniqueId val="{00000001-4037-429D-B4B8-EC7202F0C2BF}"/>
            </c:ext>
          </c:extLst>
        </c:ser>
        <c:dLbls>
          <c:showLegendKey val="0"/>
          <c:showVal val="0"/>
          <c:showCatName val="0"/>
          <c:showSerName val="0"/>
          <c:showPercent val="0"/>
          <c:showBubbleSize val="0"/>
        </c:dLbls>
        <c:smooth val="0"/>
        <c:axId val="773687288"/>
        <c:axId val="773688728"/>
      </c:lineChart>
      <c:catAx>
        <c:axId val="77368728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688728"/>
        <c:crosses val="autoZero"/>
        <c:auto val="1"/>
        <c:lblAlgn val="ctr"/>
        <c:lblOffset val="100"/>
        <c:noMultiLvlLbl val="0"/>
      </c:catAx>
      <c:valAx>
        <c:axId val="7736887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Litres</a:t>
                </a:r>
                <a:r>
                  <a:rPr lang="en-GB" baseline="0"/>
                  <a:t> in tank</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6872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10</xdr:col>
      <xdr:colOff>171450</xdr:colOff>
      <xdr:row>9</xdr:row>
      <xdr:rowOff>66675</xdr:rowOff>
    </xdr:from>
    <xdr:to>
      <xdr:col>20</xdr:col>
      <xdr:colOff>80962</xdr:colOff>
      <xdr:row>33</xdr:row>
      <xdr:rowOff>76200</xdr:rowOff>
    </xdr:to>
    <xdr:graphicFrame macro="">
      <xdr:nvGraphicFramePr>
        <xdr:cNvPr id="9" name="Chart 1">
          <a:extLst>
            <a:ext uri="{FF2B5EF4-FFF2-40B4-BE49-F238E27FC236}">
              <a16:creationId xmlns:a16="http://schemas.microsoft.com/office/drawing/2014/main" id="{2BCD7728-75F5-7B15-3FD1-433CE0A42D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347662</xdr:colOff>
      <xdr:row>15</xdr:row>
      <xdr:rowOff>9525</xdr:rowOff>
    </xdr:from>
    <xdr:to>
      <xdr:col>9</xdr:col>
      <xdr:colOff>161925</xdr:colOff>
      <xdr:row>38</xdr:row>
      <xdr:rowOff>38100</xdr:rowOff>
    </xdr:to>
    <xdr:graphicFrame macro="">
      <xdr:nvGraphicFramePr>
        <xdr:cNvPr id="11" name="Chart 2">
          <a:extLst>
            <a:ext uri="{FF2B5EF4-FFF2-40B4-BE49-F238E27FC236}">
              <a16:creationId xmlns:a16="http://schemas.microsoft.com/office/drawing/2014/main" id="{6863652D-F1B6-633E-B825-B0B351CB9F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133350</xdr:colOff>
      <xdr:row>16</xdr:row>
      <xdr:rowOff>125412</xdr:rowOff>
    </xdr:from>
    <xdr:to>
      <xdr:col>17</xdr:col>
      <xdr:colOff>76200</xdr:colOff>
      <xdr:row>32</xdr:row>
      <xdr:rowOff>11112</xdr:rowOff>
    </xdr:to>
    <xdr:graphicFrame macro="">
      <xdr:nvGraphicFramePr>
        <xdr:cNvPr id="2" name="Chart 1">
          <a:extLst>
            <a:ext uri="{FF2B5EF4-FFF2-40B4-BE49-F238E27FC236}">
              <a16:creationId xmlns:a16="http://schemas.microsoft.com/office/drawing/2014/main" id="{8DC26DC6-D905-D9E5-8B52-657B5791A8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200327</xdr:colOff>
      <xdr:row>16</xdr:row>
      <xdr:rowOff>119893</xdr:rowOff>
    </xdr:from>
    <xdr:to>
      <xdr:col>24</xdr:col>
      <xdr:colOff>381000</xdr:colOff>
      <xdr:row>32</xdr:row>
      <xdr:rowOff>40821</xdr:rowOff>
    </xdr:to>
    <xdr:graphicFrame macro="">
      <xdr:nvGraphicFramePr>
        <xdr:cNvPr id="6" name="Chart 5">
          <a:extLst>
            <a:ext uri="{FF2B5EF4-FFF2-40B4-BE49-F238E27FC236}">
              <a16:creationId xmlns:a16="http://schemas.microsoft.com/office/drawing/2014/main" id="{051DFAC3-8162-8C09-2E85-4282566769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435428</xdr:colOff>
      <xdr:row>76</xdr:row>
      <xdr:rowOff>9524</xdr:rowOff>
    </xdr:from>
    <xdr:to>
      <xdr:col>14</xdr:col>
      <xdr:colOff>585108</xdr:colOff>
      <xdr:row>111</xdr:row>
      <xdr:rowOff>68035</xdr:rowOff>
    </xdr:to>
    <xdr:graphicFrame macro="">
      <xdr:nvGraphicFramePr>
        <xdr:cNvPr id="7" name="Chart 6">
          <a:extLst>
            <a:ext uri="{FF2B5EF4-FFF2-40B4-BE49-F238E27FC236}">
              <a16:creationId xmlns:a16="http://schemas.microsoft.com/office/drawing/2014/main" id="{CAC31CB6-3D00-8A9F-57BB-CCD73308BA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312965</xdr:colOff>
      <xdr:row>16</xdr:row>
      <xdr:rowOff>20864</xdr:rowOff>
    </xdr:from>
    <xdr:to>
      <xdr:col>8</xdr:col>
      <xdr:colOff>784679</xdr:colOff>
      <xdr:row>31</xdr:row>
      <xdr:rowOff>42635</xdr:rowOff>
    </xdr:to>
    <xdr:graphicFrame macro="">
      <xdr:nvGraphicFramePr>
        <xdr:cNvPr id="4" name="Chart 3">
          <a:extLst>
            <a:ext uri="{FF2B5EF4-FFF2-40B4-BE49-F238E27FC236}">
              <a16:creationId xmlns:a16="http://schemas.microsoft.com/office/drawing/2014/main" id="{994E394B-A7C8-7987-20EA-55F198547A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492125</xdr:colOff>
      <xdr:row>19</xdr:row>
      <xdr:rowOff>42861</xdr:rowOff>
    </xdr:from>
    <xdr:to>
      <xdr:col>15</xdr:col>
      <xdr:colOff>385764</xdr:colOff>
      <xdr:row>38</xdr:row>
      <xdr:rowOff>139700</xdr:rowOff>
    </xdr:to>
    <xdr:graphicFrame macro="">
      <xdr:nvGraphicFramePr>
        <xdr:cNvPr id="2" name="Chart 1">
          <a:extLst>
            <a:ext uri="{FF2B5EF4-FFF2-40B4-BE49-F238E27FC236}">
              <a16:creationId xmlns:a16="http://schemas.microsoft.com/office/drawing/2014/main" id="{B26EB684-201B-0D8C-3B58-22DAD14660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631031</xdr:colOff>
      <xdr:row>9</xdr:row>
      <xdr:rowOff>180181</xdr:rowOff>
    </xdr:from>
    <xdr:to>
      <xdr:col>5</xdr:col>
      <xdr:colOff>543718</xdr:colOff>
      <xdr:row>25</xdr:row>
      <xdr:rowOff>2381</xdr:rowOff>
    </xdr:to>
    <xdr:graphicFrame macro="">
      <xdr:nvGraphicFramePr>
        <xdr:cNvPr id="5" name="Chart 4">
          <a:extLst>
            <a:ext uri="{FF2B5EF4-FFF2-40B4-BE49-F238E27FC236}">
              <a16:creationId xmlns:a16="http://schemas.microsoft.com/office/drawing/2014/main" id="{DB295BAB-0E33-D191-A610-05750C5F95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304801</xdr:colOff>
      <xdr:row>2</xdr:row>
      <xdr:rowOff>3969</xdr:rowOff>
    </xdr:from>
    <xdr:to>
      <xdr:col>18</xdr:col>
      <xdr:colOff>1</xdr:colOff>
      <xdr:row>16</xdr:row>
      <xdr:rowOff>173434</xdr:rowOff>
    </xdr:to>
    <xdr:graphicFrame macro="">
      <xdr:nvGraphicFramePr>
        <xdr:cNvPr id="4" name="Chart 3">
          <a:extLst>
            <a:ext uri="{FF2B5EF4-FFF2-40B4-BE49-F238E27FC236}">
              <a16:creationId xmlns:a16="http://schemas.microsoft.com/office/drawing/2014/main" id="{98D8A520-5D8F-DD15-BA81-859EC2F5AC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370283</xdr:colOff>
      <xdr:row>18</xdr:row>
      <xdr:rowOff>152400</xdr:rowOff>
    </xdr:from>
    <xdr:to>
      <xdr:col>20</xdr:col>
      <xdr:colOff>84138</xdr:colOff>
      <xdr:row>38</xdr:row>
      <xdr:rowOff>35321</xdr:rowOff>
    </xdr:to>
    <xdr:graphicFrame macro="">
      <xdr:nvGraphicFramePr>
        <xdr:cNvPr id="2" name="Chart 1">
          <a:extLst>
            <a:ext uri="{FF2B5EF4-FFF2-40B4-BE49-F238E27FC236}">
              <a16:creationId xmlns:a16="http://schemas.microsoft.com/office/drawing/2014/main" id="{5BEA7752-C8DE-D88C-5102-69F6B92A7F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292100</xdr:colOff>
      <xdr:row>18</xdr:row>
      <xdr:rowOff>109933</xdr:rowOff>
    </xdr:from>
    <xdr:to>
      <xdr:col>26</xdr:col>
      <xdr:colOff>558800</xdr:colOff>
      <xdr:row>35</xdr:row>
      <xdr:rowOff>38496</xdr:rowOff>
    </xdr:to>
    <xdr:graphicFrame macro="">
      <xdr:nvGraphicFramePr>
        <xdr:cNvPr id="3" name="Chart 2">
          <a:extLst>
            <a:ext uri="{FF2B5EF4-FFF2-40B4-BE49-F238E27FC236}">
              <a16:creationId xmlns:a16="http://schemas.microsoft.com/office/drawing/2014/main" id="{B0BE9524-9886-BC1A-1452-C88EC7D257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239116</xdr:colOff>
      <xdr:row>1</xdr:row>
      <xdr:rowOff>126602</xdr:rowOff>
    </xdr:from>
    <xdr:to>
      <xdr:col>25</xdr:col>
      <xdr:colOff>574476</xdr:colOff>
      <xdr:row>16</xdr:row>
      <xdr:rowOff>42068</xdr:rowOff>
    </xdr:to>
    <xdr:graphicFrame macro="">
      <xdr:nvGraphicFramePr>
        <xdr:cNvPr id="6" name="Chart 5">
          <a:extLst>
            <a:ext uri="{FF2B5EF4-FFF2-40B4-BE49-F238E27FC236}">
              <a16:creationId xmlns:a16="http://schemas.microsoft.com/office/drawing/2014/main" id="{751F093D-2061-126A-9973-CD3CF78B9F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538162</xdr:colOff>
      <xdr:row>4</xdr:row>
      <xdr:rowOff>147637</xdr:rowOff>
    </xdr:from>
    <xdr:to>
      <xdr:col>11</xdr:col>
      <xdr:colOff>233362</xdr:colOff>
      <xdr:row>19</xdr:row>
      <xdr:rowOff>33337</xdr:rowOff>
    </xdr:to>
    <xdr:graphicFrame macro="">
      <xdr:nvGraphicFramePr>
        <xdr:cNvPr id="4" name="Chart 3">
          <a:extLst>
            <a:ext uri="{FF2B5EF4-FFF2-40B4-BE49-F238E27FC236}">
              <a16:creationId xmlns:a16="http://schemas.microsoft.com/office/drawing/2014/main" id="{FF96ED93-F6FD-CD17-DB6B-CDB0BB5A6A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BF65A-C7FB-4F3B-BC8D-9CE54C8AC457}">
  <dimension ref="A1:M23"/>
  <sheetViews>
    <sheetView topLeftCell="C1" workbookViewId="0">
      <selection activeCell="L2" sqref="L2"/>
    </sheetView>
  </sheetViews>
  <sheetFormatPr defaultRowHeight="14.45"/>
  <cols>
    <col min="1" max="1" width="16.7109375" bestFit="1" customWidth="1"/>
    <col min="2" max="2" width="14.28515625" bestFit="1" customWidth="1"/>
    <col min="3" max="3" width="15.7109375" bestFit="1" customWidth="1"/>
    <col min="4" max="4" width="11.42578125" bestFit="1" customWidth="1"/>
    <col min="5" max="5" width="31.7109375" bestFit="1" customWidth="1"/>
    <col min="6" max="6" width="15.28515625" bestFit="1" customWidth="1"/>
    <col min="7" max="7" width="15.28515625" customWidth="1"/>
    <col min="8" max="8" width="34.28515625" bestFit="1" customWidth="1"/>
    <col min="11" max="11" width="17.28515625" bestFit="1" customWidth="1"/>
  </cols>
  <sheetData>
    <row r="1" spans="1:13">
      <c r="A1" t="s">
        <v>0</v>
      </c>
      <c r="B1">
        <v>1341</v>
      </c>
      <c r="H1" t="s">
        <v>1</v>
      </c>
      <c r="I1">
        <f>F6+F13+F9+F11+F7+B9+F12</f>
        <v>118.8</v>
      </c>
      <c r="J1" t="s">
        <v>2</v>
      </c>
      <c r="K1" t="s">
        <v>3</v>
      </c>
      <c r="L1">
        <f>F6+F7+F9</f>
        <v>52.8</v>
      </c>
      <c r="M1" t="s">
        <v>2</v>
      </c>
    </row>
    <row r="2" spans="1:13">
      <c r="A2" t="s">
        <v>4</v>
      </c>
      <c r="B2" s="1">
        <v>7.6388888888888895E-2</v>
      </c>
      <c r="H2" t="s">
        <v>5</v>
      </c>
      <c r="I2">
        <f>I1*B1</f>
        <v>159310.79999999999</v>
      </c>
      <c r="J2" t="s">
        <v>2</v>
      </c>
      <c r="K2" t="s">
        <v>3</v>
      </c>
      <c r="L2">
        <f>L1*B1</f>
        <v>70804.800000000003</v>
      </c>
      <c r="M2" t="s">
        <v>2</v>
      </c>
    </row>
    <row r="3" spans="1:13">
      <c r="A3" t="s">
        <v>6</v>
      </c>
      <c r="B3">
        <f>B1/50</f>
        <v>26.82</v>
      </c>
      <c r="K3" t="s">
        <v>7</v>
      </c>
      <c r="L3">
        <f>B9+B10+B11+B12</f>
        <v>49</v>
      </c>
      <c r="M3" t="s">
        <v>2</v>
      </c>
    </row>
    <row r="4" spans="1:13">
      <c r="A4" t="s">
        <v>8</v>
      </c>
      <c r="E4" t="s">
        <v>9</v>
      </c>
      <c r="K4" t="s">
        <v>10</v>
      </c>
      <c r="L4">
        <f>(B9+B10+B12)*B1</f>
        <v>65709</v>
      </c>
      <c r="M4" t="s">
        <v>2</v>
      </c>
    </row>
    <row r="5" spans="1:13">
      <c r="A5" t="s">
        <v>11</v>
      </c>
      <c r="B5" t="s">
        <v>12</v>
      </c>
      <c r="E5" t="s">
        <v>11</v>
      </c>
      <c r="F5" t="s">
        <v>12</v>
      </c>
    </row>
    <row r="6" spans="1:13">
      <c r="A6" t="s">
        <v>13</v>
      </c>
      <c r="B6">
        <v>48.5</v>
      </c>
      <c r="C6" t="s">
        <v>2</v>
      </c>
      <c r="E6" t="s">
        <v>14</v>
      </c>
      <c r="F6">
        <v>6.8</v>
      </c>
      <c r="G6" t="s">
        <v>2</v>
      </c>
    </row>
    <row r="7" spans="1:13">
      <c r="E7" t="s">
        <v>15</v>
      </c>
      <c r="F7">
        <v>16</v>
      </c>
      <c r="G7" t="s">
        <v>2</v>
      </c>
      <c r="H7" t="s">
        <v>16</v>
      </c>
    </row>
    <row r="8" spans="1:13">
      <c r="E8" t="s">
        <v>17</v>
      </c>
      <c r="F8">
        <f>12*5</f>
        <v>60</v>
      </c>
      <c r="G8" t="s">
        <v>2</v>
      </c>
      <c r="H8" t="s">
        <v>18</v>
      </c>
    </row>
    <row r="9" spans="1:13">
      <c r="A9" t="s">
        <v>19</v>
      </c>
      <c r="B9">
        <f>30/2</f>
        <v>15</v>
      </c>
      <c r="C9" t="s">
        <v>2</v>
      </c>
      <c r="E9" t="s">
        <v>20</v>
      </c>
      <c r="F9">
        <v>30</v>
      </c>
      <c r="G9" t="s">
        <v>2</v>
      </c>
      <c r="H9" t="s">
        <v>21</v>
      </c>
    </row>
    <row r="10" spans="1:13">
      <c r="A10" t="s">
        <v>22</v>
      </c>
      <c r="B10">
        <v>15</v>
      </c>
      <c r="C10" t="s">
        <v>2</v>
      </c>
      <c r="E10" t="s">
        <v>23</v>
      </c>
      <c r="H10" t="s">
        <v>24</v>
      </c>
    </row>
    <row r="11" spans="1:13">
      <c r="A11" t="s">
        <v>25</v>
      </c>
      <c r="B11">
        <v>0</v>
      </c>
      <c r="C11" t="s">
        <v>2</v>
      </c>
      <c r="E11" t="s">
        <v>26</v>
      </c>
      <c r="F11">
        <v>30</v>
      </c>
      <c r="G11" t="s">
        <v>2</v>
      </c>
      <c r="H11" t="s">
        <v>27</v>
      </c>
    </row>
    <row r="12" spans="1:13">
      <c r="A12" t="s">
        <v>28</v>
      </c>
      <c r="B12">
        <v>19</v>
      </c>
      <c r="C12" t="s">
        <v>2</v>
      </c>
      <c r="E12" t="s">
        <v>29</v>
      </c>
      <c r="F12">
        <v>3</v>
      </c>
      <c r="G12" t="s">
        <v>2</v>
      </c>
      <c r="H12" t="s">
        <v>30</v>
      </c>
    </row>
    <row r="13" spans="1:13">
      <c r="E13" t="s">
        <v>31</v>
      </c>
      <c r="F13">
        <v>18</v>
      </c>
      <c r="H13" t="s">
        <v>32</v>
      </c>
    </row>
    <row r="14" spans="1:13">
      <c r="H14" t="s">
        <v>33</v>
      </c>
    </row>
    <row r="15" spans="1:13">
      <c r="B15">
        <v>109</v>
      </c>
      <c r="C15" t="s">
        <v>2</v>
      </c>
      <c r="D15" t="s">
        <v>34</v>
      </c>
      <c r="H15" t="s">
        <v>35</v>
      </c>
    </row>
    <row r="16" spans="1:13">
      <c r="H16" t="s">
        <v>36</v>
      </c>
    </row>
    <row r="17" spans="8:8">
      <c r="H17" t="s">
        <v>37</v>
      </c>
    </row>
    <row r="18" spans="8:8">
      <c r="H18" t="s">
        <v>38</v>
      </c>
    </row>
    <row r="19" spans="8:8">
      <c r="H19" t="s">
        <v>39</v>
      </c>
    </row>
    <row r="20" spans="8:8">
      <c r="H20" t="s">
        <v>40</v>
      </c>
    </row>
    <row r="21" spans="8:8">
      <c r="H21" t="s">
        <v>41</v>
      </c>
    </row>
    <row r="22" spans="8:8">
      <c r="H22" t="s">
        <v>42</v>
      </c>
    </row>
    <row r="23" spans="8:8">
      <c r="H23" t="s">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7E6CD-FB01-4F42-BB7A-DD896C876A5E}">
  <dimension ref="A1:M32"/>
  <sheetViews>
    <sheetView workbookViewId="0">
      <selection activeCell="A6" sqref="A6"/>
    </sheetView>
  </sheetViews>
  <sheetFormatPr defaultRowHeight="14.45"/>
  <cols>
    <col min="1" max="1" width="19.42578125" bestFit="1" customWidth="1"/>
    <col min="2" max="2" width="17.140625" customWidth="1"/>
    <col min="3" max="3" width="12.42578125" customWidth="1"/>
    <col min="4" max="4" width="23.85546875" bestFit="1" customWidth="1"/>
    <col min="5" max="5" width="21.85546875" bestFit="1" customWidth="1"/>
    <col min="6" max="6" width="13.42578125" bestFit="1" customWidth="1"/>
    <col min="7" max="7" width="16.42578125" customWidth="1"/>
    <col min="8" max="8" width="17.85546875" bestFit="1" customWidth="1"/>
    <col min="9" max="9" width="11.28515625" bestFit="1" customWidth="1"/>
    <col min="10" max="10" width="12.42578125" bestFit="1" customWidth="1"/>
    <col min="12" max="12" width="9.7109375" bestFit="1" customWidth="1"/>
  </cols>
  <sheetData>
    <row r="1" spans="1:13">
      <c r="A1" s="2" t="s">
        <v>44</v>
      </c>
      <c r="B1" s="2" t="s">
        <v>45</v>
      </c>
      <c r="C1" s="2" t="s">
        <v>46</v>
      </c>
      <c r="D1" s="2" t="s">
        <v>47</v>
      </c>
      <c r="E1" s="2" t="s">
        <v>48</v>
      </c>
      <c r="F1" s="2" t="s">
        <v>49</v>
      </c>
      <c r="G1" s="2" t="s">
        <v>50</v>
      </c>
      <c r="H1" s="2" t="s">
        <v>51</v>
      </c>
      <c r="I1" s="2" t="s">
        <v>52</v>
      </c>
      <c r="J1" s="2" t="s">
        <v>53</v>
      </c>
    </row>
    <row r="2" spans="1:13">
      <c r="A2" s="2" t="s">
        <v>54</v>
      </c>
      <c r="B2">
        <f>9*3</f>
        <v>27</v>
      </c>
      <c r="C2">
        <f>(2*1.3)+(2.7)</f>
        <v>5.3000000000000007</v>
      </c>
      <c r="D2">
        <f>6*8</f>
        <v>48</v>
      </c>
      <c r="E2">
        <v>50</v>
      </c>
      <c r="F2">
        <f>8.3/2</f>
        <v>4.1500000000000004</v>
      </c>
      <c r="G2">
        <f>14*2</f>
        <v>28</v>
      </c>
      <c r="H2">
        <v>3</v>
      </c>
      <c r="I2">
        <f t="shared" ref="I2:I10" si="0">SUM(B2:H2)</f>
        <v>165.45000000000002</v>
      </c>
      <c r="J2">
        <v>0</v>
      </c>
    </row>
    <row r="3" spans="1:13">
      <c r="A3" s="2" t="s">
        <v>55</v>
      </c>
      <c r="B3">
        <f>9*3</f>
        <v>27</v>
      </c>
      <c r="C3">
        <f t="shared" ref="C3" si="1">(2*1.3)+(2.7)</f>
        <v>5.3000000000000007</v>
      </c>
      <c r="D3">
        <f>6*8</f>
        <v>48</v>
      </c>
      <c r="E3">
        <v>50</v>
      </c>
      <c r="F3">
        <f t="shared" ref="F3:F10" si="2">8.3/2</f>
        <v>4.1500000000000004</v>
      </c>
      <c r="G3">
        <v>28</v>
      </c>
      <c r="H3">
        <v>3</v>
      </c>
      <c r="I3">
        <f t="shared" si="0"/>
        <v>165.45000000000002</v>
      </c>
      <c r="J3">
        <f>$I$2-I3</f>
        <v>0</v>
      </c>
    </row>
    <row r="4" spans="1:13">
      <c r="A4" s="2" t="s">
        <v>56</v>
      </c>
      <c r="B4">
        <f>(6*1)+(4*2)</f>
        <v>14</v>
      </c>
      <c r="C4">
        <f>(2*1.3)+(2.7)</f>
        <v>5.3000000000000007</v>
      </c>
      <c r="D4">
        <f>D2</f>
        <v>48</v>
      </c>
      <c r="E4">
        <v>50</v>
      </c>
      <c r="F4">
        <f t="shared" si="2"/>
        <v>4.1500000000000004</v>
      </c>
      <c r="G4">
        <v>28</v>
      </c>
      <c r="H4">
        <v>3</v>
      </c>
      <c r="I4">
        <f t="shared" si="0"/>
        <v>152.44999999999999</v>
      </c>
      <c r="J4">
        <f t="shared" ref="J4:J11" si="3">$I$2-I4</f>
        <v>13.000000000000028</v>
      </c>
    </row>
    <row r="5" spans="1:13">
      <c r="A5" s="2" t="s">
        <v>57</v>
      </c>
      <c r="B5">
        <f>9*3</f>
        <v>27</v>
      </c>
      <c r="C5">
        <f>(2*0.5)+(1)</f>
        <v>2</v>
      </c>
      <c r="D5">
        <f>D4</f>
        <v>48</v>
      </c>
      <c r="E5">
        <v>50</v>
      </c>
      <c r="F5">
        <f t="shared" si="2"/>
        <v>4.1500000000000004</v>
      </c>
      <c r="G5">
        <v>28</v>
      </c>
      <c r="H5">
        <v>3</v>
      </c>
      <c r="I5">
        <f t="shared" si="0"/>
        <v>162.15</v>
      </c>
      <c r="J5">
        <f>$I$2-I5</f>
        <v>3.3000000000000114</v>
      </c>
    </row>
    <row r="6" spans="1:13">
      <c r="A6" s="2" t="s">
        <v>58</v>
      </c>
      <c r="B6">
        <f t="shared" ref="B6:B7" si="4">9*3</f>
        <v>27</v>
      </c>
      <c r="C6">
        <v>5.3</v>
      </c>
      <c r="D6">
        <f t="shared" ref="D6:D8" si="5">D4</f>
        <v>48</v>
      </c>
      <c r="E6">
        <v>50</v>
      </c>
      <c r="F6">
        <f t="shared" si="2"/>
        <v>4.1500000000000004</v>
      </c>
      <c r="G6">
        <v>28</v>
      </c>
      <c r="H6">
        <v>3</v>
      </c>
      <c r="I6">
        <f t="shared" si="0"/>
        <v>165.45000000000002</v>
      </c>
    </row>
    <row r="7" spans="1:13">
      <c r="A7" s="2" t="s">
        <v>59</v>
      </c>
      <c r="B7">
        <f t="shared" si="4"/>
        <v>27</v>
      </c>
      <c r="C7">
        <v>5.3</v>
      </c>
      <c r="D7">
        <f t="shared" si="5"/>
        <v>48</v>
      </c>
      <c r="E7">
        <v>50</v>
      </c>
      <c r="F7">
        <f t="shared" si="2"/>
        <v>4.1500000000000004</v>
      </c>
      <c r="G7">
        <f>10*2</f>
        <v>20</v>
      </c>
      <c r="H7">
        <v>3</v>
      </c>
      <c r="I7">
        <f t="shared" si="0"/>
        <v>157.45000000000002</v>
      </c>
      <c r="J7">
        <f t="shared" si="3"/>
        <v>8</v>
      </c>
    </row>
    <row r="8" spans="1:13">
      <c r="A8" s="2" t="s">
        <v>25</v>
      </c>
      <c r="B8">
        <v>0</v>
      </c>
      <c r="C8">
        <v>5.3</v>
      </c>
      <c r="D8">
        <f t="shared" si="5"/>
        <v>48</v>
      </c>
      <c r="E8">
        <v>50</v>
      </c>
      <c r="F8">
        <f t="shared" si="2"/>
        <v>4.1500000000000004</v>
      </c>
      <c r="G8">
        <v>28</v>
      </c>
      <c r="H8">
        <v>3</v>
      </c>
      <c r="I8">
        <f t="shared" si="0"/>
        <v>138.44999999999999</v>
      </c>
      <c r="J8">
        <f t="shared" si="3"/>
        <v>27.000000000000028</v>
      </c>
    </row>
    <row r="9" spans="1:13">
      <c r="A9" s="2" t="s">
        <v>60</v>
      </c>
      <c r="B9">
        <f>9*3</f>
        <v>27</v>
      </c>
      <c r="C9">
        <v>5.3</v>
      </c>
      <c r="D9">
        <f>6*5</f>
        <v>30</v>
      </c>
      <c r="E9">
        <v>50</v>
      </c>
      <c r="F9">
        <f t="shared" si="2"/>
        <v>4.1500000000000004</v>
      </c>
      <c r="G9">
        <v>28</v>
      </c>
      <c r="H9">
        <v>3</v>
      </c>
      <c r="I9" s="3">
        <f t="shared" si="0"/>
        <v>147.44999999999999</v>
      </c>
      <c r="J9">
        <f t="shared" si="3"/>
        <v>18.000000000000028</v>
      </c>
    </row>
    <row r="10" spans="1:13">
      <c r="A10" s="2" t="s">
        <v>61</v>
      </c>
      <c r="B10">
        <f>9*3</f>
        <v>27</v>
      </c>
      <c r="C10">
        <v>5.3</v>
      </c>
      <c r="D10">
        <v>48</v>
      </c>
      <c r="E10">
        <v>35</v>
      </c>
      <c r="F10">
        <f t="shared" si="2"/>
        <v>4.1500000000000004</v>
      </c>
      <c r="G10">
        <v>28</v>
      </c>
      <c r="H10">
        <v>3</v>
      </c>
      <c r="I10" s="3">
        <f t="shared" si="0"/>
        <v>150.44999999999999</v>
      </c>
      <c r="J10">
        <f t="shared" si="3"/>
        <v>15.000000000000028</v>
      </c>
    </row>
    <row r="11" spans="1:13">
      <c r="A11" s="2" t="s">
        <v>62</v>
      </c>
      <c r="B11">
        <v>14</v>
      </c>
      <c r="C11">
        <v>2</v>
      </c>
      <c r="D11">
        <v>30</v>
      </c>
      <c r="E11">
        <v>35</v>
      </c>
      <c r="F11">
        <v>4.1500000000000004</v>
      </c>
      <c r="G11">
        <v>20</v>
      </c>
      <c r="H11">
        <v>3</v>
      </c>
      <c r="I11">
        <f>SUM(B11:H11)</f>
        <v>108.15</v>
      </c>
      <c r="J11">
        <f t="shared" si="3"/>
        <v>57.300000000000011</v>
      </c>
      <c r="L11">
        <v>2000</v>
      </c>
      <c r="M11" t="s">
        <v>63</v>
      </c>
    </row>
    <row r="12" spans="1:13">
      <c r="A12" s="2"/>
      <c r="H12" t="s">
        <v>64</v>
      </c>
      <c r="I12">
        <f>J4+J5+J7+J9+J10</f>
        <v>57.300000000000097</v>
      </c>
      <c r="J12" t="s">
        <v>2</v>
      </c>
    </row>
    <row r="13" spans="1:13">
      <c r="L13" t="s">
        <v>65</v>
      </c>
    </row>
    <row r="14" spans="1:13">
      <c r="A14" t="s">
        <v>66</v>
      </c>
      <c r="B14">
        <v>9</v>
      </c>
      <c r="C14" t="s">
        <v>67</v>
      </c>
    </row>
    <row r="15" spans="1:13">
      <c r="A15" t="s">
        <v>68</v>
      </c>
      <c r="B15">
        <v>4</v>
      </c>
      <c r="C15" t="s">
        <v>67</v>
      </c>
    </row>
    <row r="16" spans="1:13">
      <c r="B16">
        <v>6</v>
      </c>
      <c r="C16" t="s">
        <v>67</v>
      </c>
    </row>
    <row r="18" spans="1:3">
      <c r="A18" t="s">
        <v>69</v>
      </c>
      <c r="B18">
        <v>14</v>
      </c>
      <c r="C18" t="s">
        <v>70</v>
      </c>
    </row>
    <row r="19" spans="1:3">
      <c r="A19" t="s">
        <v>71</v>
      </c>
      <c r="B19">
        <v>10</v>
      </c>
      <c r="C19" t="s">
        <v>70</v>
      </c>
    </row>
    <row r="21" spans="1:3">
      <c r="A21" t="s">
        <v>72</v>
      </c>
      <c r="B21">
        <v>4</v>
      </c>
      <c r="C21" t="s">
        <v>73</v>
      </c>
    </row>
    <row r="22" spans="1:3">
      <c r="A22" t="s">
        <v>57</v>
      </c>
      <c r="B22">
        <v>1.5</v>
      </c>
      <c r="C22" t="s">
        <v>73</v>
      </c>
    </row>
    <row r="24" spans="1:3">
      <c r="A24" t="s">
        <v>74</v>
      </c>
      <c r="B24">
        <v>12</v>
      </c>
      <c r="C24" t="s">
        <v>73</v>
      </c>
    </row>
    <row r="25" spans="1:3">
      <c r="A25" t="s">
        <v>75</v>
      </c>
      <c r="B25">
        <v>6</v>
      </c>
      <c r="C25" t="s">
        <v>73</v>
      </c>
    </row>
    <row r="27" spans="1:3">
      <c r="A27" t="s">
        <v>60</v>
      </c>
    </row>
    <row r="28" spans="1:3">
      <c r="A28" t="s">
        <v>76</v>
      </c>
      <c r="B28">
        <v>8</v>
      </c>
      <c r="C28" t="s">
        <v>77</v>
      </c>
    </row>
    <row r="29" spans="1:3">
      <c r="B29">
        <v>5</v>
      </c>
      <c r="C29" t="s">
        <v>77</v>
      </c>
    </row>
    <row r="30" spans="1:3">
      <c r="A30" t="s">
        <v>78</v>
      </c>
      <c r="B30">
        <v>3</v>
      </c>
      <c r="C30" t="s">
        <v>79</v>
      </c>
    </row>
    <row r="32" spans="1:3">
      <c r="A32" t="s">
        <v>80</v>
      </c>
      <c r="B32">
        <v>55</v>
      </c>
      <c r="C32" t="s">
        <v>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6EFBF-8261-41B8-BB1F-6AF529C0FF89}">
  <dimension ref="A1:AD11"/>
  <sheetViews>
    <sheetView topLeftCell="I1" workbookViewId="0">
      <selection activeCell="AB5" sqref="AB5"/>
    </sheetView>
  </sheetViews>
  <sheetFormatPr defaultRowHeight="14.45"/>
  <cols>
    <col min="1" max="1" width="15.42578125" customWidth="1"/>
    <col min="3" max="3" width="16.42578125" bestFit="1" customWidth="1"/>
    <col min="5" max="5" width="12.140625" bestFit="1" customWidth="1"/>
    <col min="7" max="7" width="13.42578125" bestFit="1" customWidth="1"/>
    <col min="9" max="9" width="16.28515625" bestFit="1" customWidth="1"/>
    <col min="11" max="11" width="12.42578125" bestFit="1" customWidth="1"/>
    <col min="13" max="13" width="13.85546875" bestFit="1" customWidth="1"/>
    <col min="15" max="15" width="15.42578125" customWidth="1"/>
    <col min="17" max="17" width="17" bestFit="1" customWidth="1"/>
    <col min="19" max="19" width="21.42578125" bestFit="1" customWidth="1"/>
    <col min="24" max="24" width="13.7109375" bestFit="1" customWidth="1"/>
    <col min="26" max="26" width="13.7109375" bestFit="1" customWidth="1"/>
    <col min="29" max="29" width="15.140625" bestFit="1" customWidth="1"/>
    <col min="30" max="30" width="9.42578125" bestFit="1" customWidth="1"/>
  </cols>
  <sheetData>
    <row r="1" spans="1:30">
      <c r="A1" s="2" t="s">
        <v>81</v>
      </c>
      <c r="B1" s="2" t="s">
        <v>82</v>
      </c>
      <c r="C1" s="5" t="s">
        <v>83</v>
      </c>
      <c r="D1" s="5" t="s">
        <v>82</v>
      </c>
      <c r="E1" s="6" t="s">
        <v>84</v>
      </c>
      <c r="F1" s="6" t="s">
        <v>82</v>
      </c>
      <c r="G1" s="7" t="s">
        <v>85</v>
      </c>
      <c r="H1" s="7" t="s">
        <v>82</v>
      </c>
      <c r="I1" s="8" t="s">
        <v>86</v>
      </c>
      <c r="J1" s="8" t="s">
        <v>82</v>
      </c>
      <c r="K1" s="9" t="s">
        <v>87</v>
      </c>
      <c r="L1" s="9" t="s">
        <v>82</v>
      </c>
      <c r="M1" s="10" t="s">
        <v>88</v>
      </c>
      <c r="N1" s="10" t="s">
        <v>82</v>
      </c>
      <c r="O1" s="11" t="s">
        <v>89</v>
      </c>
      <c r="P1" s="11" t="s">
        <v>82</v>
      </c>
      <c r="Q1" s="12" t="s">
        <v>90</v>
      </c>
      <c r="R1" s="12" t="s">
        <v>82</v>
      </c>
      <c r="S1" s="13" t="s">
        <v>91</v>
      </c>
      <c r="T1" s="13"/>
      <c r="U1" s="13"/>
      <c r="V1" s="13"/>
      <c r="W1" s="13"/>
      <c r="X1" s="14" t="s">
        <v>92</v>
      </c>
      <c r="Y1" s="14" t="s">
        <v>82</v>
      </c>
      <c r="Z1" s="14" t="s">
        <v>93</v>
      </c>
      <c r="AA1" s="14"/>
      <c r="AB1" t="s">
        <v>94</v>
      </c>
      <c r="AD1" s="14" t="s">
        <v>95</v>
      </c>
    </row>
    <row r="2" spans="1:30">
      <c r="A2" s="2" t="s">
        <v>96</v>
      </c>
      <c r="B2" s="2">
        <v>4</v>
      </c>
      <c r="C2" s="5" t="s">
        <v>96</v>
      </c>
      <c r="D2" s="5">
        <v>4</v>
      </c>
      <c r="E2" s="6" t="s">
        <v>96</v>
      </c>
      <c r="F2" s="6">
        <v>4</v>
      </c>
      <c r="G2" s="7" t="s">
        <v>96</v>
      </c>
      <c r="H2" s="7">
        <v>4</v>
      </c>
      <c r="I2" s="8" t="s">
        <v>97</v>
      </c>
      <c r="J2" s="8">
        <v>6</v>
      </c>
      <c r="K2" s="9" t="s">
        <v>98</v>
      </c>
      <c r="L2" s="9">
        <v>4</v>
      </c>
      <c r="M2" s="10" t="s">
        <v>98</v>
      </c>
      <c r="N2" s="10">
        <v>4</v>
      </c>
      <c r="O2" s="11" t="s">
        <v>96</v>
      </c>
      <c r="P2" s="11">
        <v>4</v>
      </c>
      <c r="Q2" s="12" t="s">
        <v>96</v>
      </c>
      <c r="R2" s="12">
        <v>4</v>
      </c>
      <c r="S2" s="13" t="s">
        <v>99</v>
      </c>
      <c r="T2" s="13">
        <v>8.3000000000000007</v>
      </c>
      <c r="U2" s="13" t="s">
        <v>100</v>
      </c>
      <c r="V2" s="13"/>
      <c r="W2" s="13"/>
      <c r="X2" s="14" t="s">
        <v>96</v>
      </c>
      <c r="Y2" s="14">
        <v>4</v>
      </c>
      <c r="Z2" s="14" t="s">
        <v>96</v>
      </c>
      <c r="AA2" s="14">
        <v>4</v>
      </c>
      <c r="AB2">
        <v>28</v>
      </c>
      <c r="AC2" t="s">
        <v>101</v>
      </c>
    </row>
    <row r="3" spans="1:30">
      <c r="A3" s="2" t="s">
        <v>102</v>
      </c>
      <c r="B3" s="2">
        <v>0.5</v>
      </c>
      <c r="C3" s="5" t="s">
        <v>102</v>
      </c>
      <c r="D3" s="5">
        <v>0.5</v>
      </c>
      <c r="E3" s="6" t="s">
        <v>102</v>
      </c>
      <c r="F3" s="6">
        <v>0.5</v>
      </c>
      <c r="G3" s="7" t="s">
        <v>102</v>
      </c>
      <c r="H3" s="7">
        <v>0.5</v>
      </c>
      <c r="I3" s="8" t="s">
        <v>103</v>
      </c>
      <c r="J3" s="8">
        <v>8</v>
      </c>
      <c r="K3" s="9" t="s">
        <v>104</v>
      </c>
      <c r="L3" s="9">
        <v>0.5</v>
      </c>
      <c r="M3" s="10" t="s">
        <v>104</v>
      </c>
      <c r="N3" s="10">
        <v>0.5</v>
      </c>
      <c r="O3" s="11" t="s">
        <v>102</v>
      </c>
      <c r="P3" s="11">
        <v>0.5</v>
      </c>
      <c r="Q3" s="12" t="s">
        <v>102</v>
      </c>
      <c r="R3" s="12">
        <v>0.5</v>
      </c>
      <c r="S3" s="13" t="s">
        <v>105</v>
      </c>
      <c r="T3" s="13">
        <f>(T2/60)*V3</f>
        <v>2.7666666666666666</v>
      </c>
      <c r="U3" s="13"/>
      <c r="V3" s="13">
        <v>20</v>
      </c>
      <c r="W3" s="13" t="s">
        <v>106</v>
      </c>
      <c r="X3" s="14" t="s">
        <v>102</v>
      </c>
      <c r="Y3" s="14">
        <v>0.5</v>
      </c>
      <c r="Z3" s="14" t="s">
        <v>102</v>
      </c>
      <c r="AA3" s="14">
        <v>0.5</v>
      </c>
    </row>
    <row r="4" spans="1:30">
      <c r="A4" s="2"/>
      <c r="B4" s="2"/>
      <c r="C4" s="5"/>
      <c r="D4" s="5"/>
      <c r="E4" s="6"/>
      <c r="F4" s="6"/>
      <c r="G4" s="7"/>
      <c r="H4" s="7"/>
      <c r="I4" s="8"/>
      <c r="J4" s="8"/>
      <c r="K4" s="9"/>
      <c r="L4" s="9"/>
      <c r="M4" s="10"/>
      <c r="N4" s="10"/>
      <c r="O4" s="11"/>
      <c r="P4" s="11"/>
      <c r="Q4" s="12"/>
      <c r="R4" s="12"/>
      <c r="S4" s="13" t="s">
        <v>107</v>
      </c>
      <c r="T4" s="13">
        <f>T3</f>
        <v>2.7666666666666666</v>
      </c>
      <c r="U4" s="13"/>
      <c r="V4" s="13">
        <v>20</v>
      </c>
      <c r="W4" s="13" t="s">
        <v>106</v>
      </c>
      <c r="X4" s="14"/>
      <c r="Y4" s="14"/>
      <c r="Z4" s="14"/>
      <c r="AA4" s="14"/>
    </row>
    <row r="5" spans="1:30">
      <c r="A5" s="2" t="s">
        <v>96</v>
      </c>
      <c r="B5" s="2">
        <v>6</v>
      </c>
      <c r="C5" s="5" t="s">
        <v>96</v>
      </c>
      <c r="D5" s="5">
        <v>6</v>
      </c>
      <c r="E5" s="6" t="s">
        <v>96</v>
      </c>
      <c r="F5" s="6">
        <v>6</v>
      </c>
      <c r="G5" s="7" t="s">
        <v>96</v>
      </c>
      <c r="H5" s="7">
        <v>6</v>
      </c>
      <c r="I5" s="8"/>
      <c r="J5" s="8"/>
      <c r="K5" s="9"/>
      <c r="L5" s="9"/>
      <c r="M5" s="10"/>
      <c r="N5" s="10"/>
      <c r="O5" s="11" t="s">
        <v>96</v>
      </c>
      <c r="P5" s="11">
        <v>6</v>
      </c>
      <c r="Q5" s="12" t="s">
        <v>96</v>
      </c>
      <c r="R5" s="12">
        <v>6</v>
      </c>
      <c r="S5" s="13" t="s">
        <v>108</v>
      </c>
      <c r="T5" s="13">
        <v>20</v>
      </c>
      <c r="U5" s="13" t="s">
        <v>109</v>
      </c>
      <c r="V5" s="13"/>
      <c r="W5" s="13"/>
      <c r="X5" s="14" t="s">
        <v>110</v>
      </c>
      <c r="Y5" s="14">
        <v>6</v>
      </c>
      <c r="Z5" s="14" t="s">
        <v>110</v>
      </c>
      <c r="AA5" s="14">
        <v>6</v>
      </c>
    </row>
    <row r="6" spans="1:30">
      <c r="A6" s="2" t="s">
        <v>102</v>
      </c>
      <c r="B6" s="2">
        <v>1</v>
      </c>
      <c r="C6" s="5" t="s">
        <v>102</v>
      </c>
      <c r="D6" s="5">
        <v>1</v>
      </c>
      <c r="E6" s="6" t="s">
        <v>102</v>
      </c>
      <c r="F6" s="6">
        <v>1</v>
      </c>
      <c r="G6" s="7" t="s">
        <v>102</v>
      </c>
      <c r="H6" s="7">
        <v>1</v>
      </c>
      <c r="I6" s="8"/>
      <c r="J6" s="8"/>
      <c r="K6" s="9"/>
      <c r="L6" s="9"/>
      <c r="M6" s="10"/>
      <c r="N6" s="10"/>
      <c r="O6" s="11" t="s">
        <v>102</v>
      </c>
      <c r="P6" s="11">
        <v>1</v>
      </c>
      <c r="Q6" s="12" t="s">
        <v>102</v>
      </c>
      <c r="R6" s="12">
        <v>1</v>
      </c>
      <c r="S6" s="13"/>
      <c r="T6" s="13">
        <f>20/4</f>
        <v>5</v>
      </c>
      <c r="U6" s="13"/>
      <c r="V6" s="13"/>
      <c r="W6" s="13"/>
      <c r="X6" s="14" t="s">
        <v>111</v>
      </c>
      <c r="Y6" s="14">
        <v>1</v>
      </c>
      <c r="Z6" s="14" t="s">
        <v>111</v>
      </c>
      <c r="AA6" s="14">
        <v>1</v>
      </c>
    </row>
    <row r="7" spans="1:30">
      <c r="A7" s="2"/>
      <c r="B7" s="2"/>
      <c r="C7" s="5"/>
      <c r="D7" s="5"/>
      <c r="E7" s="6"/>
      <c r="F7" s="6"/>
      <c r="G7" s="7"/>
      <c r="H7" s="7"/>
      <c r="I7" s="8"/>
      <c r="J7" s="8"/>
      <c r="K7" s="9"/>
      <c r="L7" s="9"/>
      <c r="M7" s="10"/>
      <c r="N7" s="10"/>
      <c r="O7" s="11"/>
      <c r="P7" s="11"/>
      <c r="Q7" s="12"/>
      <c r="R7" s="12"/>
      <c r="S7" s="13"/>
      <c r="T7" s="13"/>
      <c r="U7" s="13"/>
      <c r="V7" s="13"/>
      <c r="W7" s="13"/>
      <c r="X7" s="14" t="s">
        <v>29</v>
      </c>
      <c r="Y7" s="14">
        <v>3</v>
      </c>
      <c r="Z7" s="14" t="s">
        <v>29</v>
      </c>
      <c r="AA7" s="14">
        <v>3</v>
      </c>
    </row>
    <row r="8" spans="1:30">
      <c r="A8" s="2" t="s">
        <v>29</v>
      </c>
      <c r="B8" s="2">
        <v>3</v>
      </c>
      <c r="C8" s="5" t="s">
        <v>29</v>
      </c>
      <c r="D8" s="5">
        <v>3</v>
      </c>
      <c r="E8" s="6" t="s">
        <v>29</v>
      </c>
      <c r="F8" s="6">
        <v>3</v>
      </c>
      <c r="G8" s="7" t="s">
        <v>29</v>
      </c>
      <c r="H8" s="7">
        <v>3</v>
      </c>
      <c r="I8" s="8"/>
      <c r="J8" s="8"/>
      <c r="K8" s="9" t="s">
        <v>112</v>
      </c>
      <c r="L8" s="9">
        <v>3</v>
      </c>
      <c r="M8" s="10" t="s">
        <v>112</v>
      </c>
      <c r="N8" s="10">
        <v>3</v>
      </c>
      <c r="O8" s="11" t="s">
        <v>29</v>
      </c>
      <c r="P8" s="11">
        <v>3</v>
      </c>
      <c r="Q8" s="12" t="s">
        <v>29</v>
      </c>
      <c r="R8" s="12">
        <v>3</v>
      </c>
      <c r="S8" s="13"/>
      <c r="T8" s="13"/>
      <c r="U8" s="13"/>
      <c r="V8" s="13"/>
      <c r="W8" s="13"/>
      <c r="X8" s="14" t="s">
        <v>15</v>
      </c>
      <c r="Y8" s="14">
        <v>0.75</v>
      </c>
      <c r="Z8" s="14"/>
      <c r="AA8" s="14"/>
    </row>
    <row r="9" spans="1:30">
      <c r="A9" s="2"/>
      <c r="B9" s="2"/>
      <c r="C9" s="5"/>
      <c r="D9" s="5"/>
      <c r="E9" s="6"/>
      <c r="F9" s="6"/>
      <c r="G9" s="7"/>
      <c r="H9" s="7"/>
      <c r="I9" s="8"/>
      <c r="J9" s="8"/>
      <c r="K9" s="9"/>
      <c r="L9" s="9"/>
      <c r="M9" s="10"/>
      <c r="N9" s="10"/>
      <c r="O9" s="11"/>
      <c r="P9" s="11"/>
      <c r="Q9" s="12"/>
      <c r="R9" s="12"/>
      <c r="S9" s="13"/>
      <c r="T9" s="13"/>
      <c r="U9" s="13"/>
      <c r="V9" s="13"/>
      <c r="W9" s="13"/>
      <c r="X9" s="14"/>
      <c r="Y9" s="14"/>
      <c r="Z9" s="14"/>
      <c r="AA9" s="14"/>
    </row>
    <row r="10" spans="1:30">
      <c r="A10" s="2"/>
      <c r="B10" s="2"/>
      <c r="C10" s="5"/>
      <c r="D10" s="5"/>
      <c r="E10" s="6"/>
      <c r="F10" s="6"/>
      <c r="G10" s="7"/>
      <c r="H10" s="7"/>
      <c r="I10" s="8"/>
      <c r="J10" s="8"/>
      <c r="K10" s="9"/>
      <c r="L10" s="9"/>
      <c r="M10" s="10"/>
      <c r="N10" s="10"/>
      <c r="O10" s="11" t="s">
        <v>108</v>
      </c>
      <c r="P10" s="11">
        <v>20</v>
      </c>
      <c r="Q10" s="12" t="s">
        <v>31</v>
      </c>
      <c r="R10" s="12">
        <v>18</v>
      </c>
      <c r="S10" s="13"/>
      <c r="T10" s="13"/>
      <c r="U10" s="13"/>
      <c r="V10" s="13"/>
      <c r="W10" s="13"/>
      <c r="X10" s="14"/>
      <c r="Y10" s="14"/>
      <c r="Z10" s="14"/>
      <c r="AA10" s="14"/>
    </row>
    <row r="11" spans="1:30">
      <c r="A11" s="2" t="s">
        <v>113</v>
      </c>
      <c r="B11" s="2">
        <f>((B2+B3)*2)+(B5+B6)+B8</f>
        <v>19</v>
      </c>
      <c r="C11" s="5" t="s">
        <v>114</v>
      </c>
      <c r="D11" s="5">
        <f>((D2+D3)*2)+(D5+D6)+D8</f>
        <v>19</v>
      </c>
      <c r="E11" s="6" t="s">
        <v>114</v>
      </c>
      <c r="F11" s="6">
        <v>19</v>
      </c>
      <c r="G11" s="7" t="s">
        <v>114</v>
      </c>
      <c r="H11" s="7">
        <v>19</v>
      </c>
      <c r="I11" s="8" t="s">
        <v>114</v>
      </c>
      <c r="J11" s="8">
        <f>J2*J3</f>
        <v>48</v>
      </c>
      <c r="K11" s="9" t="s">
        <v>114</v>
      </c>
      <c r="L11" s="9">
        <f>((L2+L3)*2)+L8</f>
        <v>12</v>
      </c>
      <c r="M11" s="10" t="s">
        <v>114</v>
      </c>
      <c r="N11" s="10">
        <f>((N2+N3)*2)+N8</f>
        <v>12</v>
      </c>
      <c r="O11" s="11" t="s">
        <v>114</v>
      </c>
      <c r="P11" s="11">
        <f>19+18</f>
        <v>37</v>
      </c>
      <c r="Q11" s="12" t="s">
        <v>114</v>
      </c>
      <c r="R11" s="12">
        <f>18+19</f>
        <v>37</v>
      </c>
      <c r="S11" s="13" t="s">
        <v>114</v>
      </c>
      <c r="T11" s="13">
        <f>T3+T4+T6</f>
        <v>10.533333333333333</v>
      </c>
      <c r="U11" s="13"/>
      <c r="V11" s="13"/>
      <c r="W11" s="13"/>
      <c r="X11" s="14" t="s">
        <v>114</v>
      </c>
      <c r="Y11" s="14">
        <f>((Y2+Y3)*2)+((Y5+Y6)*1)+Y7+(Y8*10)</f>
        <v>26.5</v>
      </c>
      <c r="Z11" s="14"/>
      <c r="AA11" s="14">
        <f>((Y2+Y3)*2)+((Y5+Y6)*1)+Y7+(Y8*10)</f>
        <v>26.5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E366B-C735-498B-8588-EF7A36CDA7C3}">
  <dimension ref="A1:M19"/>
  <sheetViews>
    <sheetView workbookViewId="0">
      <selection activeCell="B5" sqref="B5"/>
    </sheetView>
  </sheetViews>
  <sheetFormatPr defaultRowHeight="14.45"/>
  <cols>
    <col min="1" max="1" width="10.28515625" bestFit="1" customWidth="1"/>
    <col min="2" max="2" width="10.42578125" bestFit="1" customWidth="1"/>
    <col min="3" max="3" width="20.42578125" bestFit="1" customWidth="1"/>
    <col min="4" max="4" width="20.42578125" customWidth="1"/>
    <col min="6" max="6" width="22.85546875" bestFit="1" customWidth="1"/>
    <col min="7" max="9" width="22.85546875" customWidth="1"/>
    <col min="10" max="10" width="28.7109375" bestFit="1" customWidth="1"/>
  </cols>
  <sheetData>
    <row r="1" spans="1:13">
      <c r="B1" t="s">
        <v>115</v>
      </c>
      <c r="C1" t="s">
        <v>116</v>
      </c>
      <c r="E1" t="s">
        <v>117</v>
      </c>
      <c r="F1" t="s">
        <v>118</v>
      </c>
      <c r="G1" t="s">
        <v>119</v>
      </c>
      <c r="H1" t="s">
        <v>73</v>
      </c>
      <c r="I1" t="s">
        <v>120</v>
      </c>
      <c r="J1" t="s">
        <v>121</v>
      </c>
      <c r="K1" t="s">
        <v>122</v>
      </c>
      <c r="L1" t="s">
        <v>73</v>
      </c>
      <c r="M1" t="s">
        <v>120</v>
      </c>
    </row>
    <row r="2" spans="1:13">
      <c r="A2" t="s">
        <v>123</v>
      </c>
      <c r="B2">
        <v>150</v>
      </c>
      <c r="C2">
        <f>B2*'Types of users'!F11</f>
        <v>2850</v>
      </c>
      <c r="E2">
        <f>(((0.5*2)+(1*1)))</f>
        <v>2</v>
      </c>
      <c r="F2">
        <f>C16+C13+E3+C17+E4+E5+E6+E7+E8+E9+E13+E16+(18*B6)+(18*B7)+E10+E11</f>
        <v>10525</v>
      </c>
      <c r="G2">
        <f>F2/24</f>
        <v>438.54166666666669</v>
      </c>
      <c r="H2">
        <f>G2/60</f>
        <v>7.3090277777777777</v>
      </c>
      <c r="I2">
        <f>H2/60</f>
        <v>0.12181712962962962</v>
      </c>
      <c r="J2">
        <f>SUM(J3:J4)</f>
        <v>10180</v>
      </c>
      <c r="K2">
        <f>J2/24</f>
        <v>424.16666666666669</v>
      </c>
      <c r="L2">
        <f>K2/60</f>
        <v>7.0694444444444446</v>
      </c>
      <c r="M2">
        <f>L2/60</f>
        <v>0.11782407407407408</v>
      </c>
    </row>
    <row r="3" spans="1:13">
      <c r="A3" t="s">
        <v>124</v>
      </c>
      <c r="B3">
        <v>150</v>
      </c>
      <c r="C3">
        <f>B3*'Types of users'!H11</f>
        <v>2850</v>
      </c>
      <c r="E3">
        <f>E2*B2</f>
        <v>300</v>
      </c>
      <c r="F3" t="s">
        <v>125</v>
      </c>
      <c r="I3" t="s">
        <v>126</v>
      </c>
      <c r="J3">
        <f>((4*2)+(6*1))*(B2+B3+B10+B11+B8+B9)</f>
        <v>9380</v>
      </c>
      <c r="M3" t="s">
        <v>126</v>
      </c>
    </row>
    <row r="4" spans="1:13">
      <c r="A4" t="s">
        <v>127</v>
      </c>
      <c r="B4">
        <v>50</v>
      </c>
      <c r="C4">
        <f>B4*'Types of users'!L11</f>
        <v>600</v>
      </c>
      <c r="E4">
        <f>E2*B3</f>
        <v>300</v>
      </c>
      <c r="F4" t="s">
        <v>128</v>
      </c>
      <c r="I4">
        <f>I2/1000</f>
        <v>1.2181712962962962E-4</v>
      </c>
      <c r="J4">
        <f>(4*2)*(B4+B5)</f>
        <v>800</v>
      </c>
      <c r="M4">
        <f>M2/1000</f>
        <v>1.1782407407407408E-4</v>
      </c>
    </row>
    <row r="5" spans="1:13">
      <c r="A5" t="s">
        <v>129</v>
      </c>
      <c r="B5">
        <v>50</v>
      </c>
      <c r="C5">
        <f>'Types of users'!N11*B5</f>
        <v>600</v>
      </c>
      <c r="E5">
        <f>B6*E2</f>
        <v>20</v>
      </c>
    </row>
    <row r="6" spans="1:13">
      <c r="A6" t="s">
        <v>130</v>
      </c>
      <c r="B6">
        <v>10</v>
      </c>
      <c r="C6">
        <f>'Types of users'!P11*B6</f>
        <v>370</v>
      </c>
      <c r="E6">
        <f>B7*E2</f>
        <v>20</v>
      </c>
      <c r="J6">
        <f>J2/1000</f>
        <v>10.18</v>
      </c>
      <c r="K6" t="s">
        <v>131</v>
      </c>
    </row>
    <row r="7" spans="1:13">
      <c r="A7" t="s">
        <v>132</v>
      </c>
      <c r="B7">
        <v>10</v>
      </c>
      <c r="C7">
        <f>B7*'Types of users'!R11</f>
        <v>370</v>
      </c>
      <c r="E7">
        <f>B8*E2</f>
        <v>360</v>
      </c>
    </row>
    <row r="8" spans="1:13">
      <c r="A8" t="s">
        <v>133</v>
      </c>
      <c r="B8">
        <v>180</v>
      </c>
      <c r="C8">
        <f>B8*'Types of users'!B11</f>
        <v>3420</v>
      </c>
      <c r="E8">
        <f>B9*E2</f>
        <v>360</v>
      </c>
      <c r="H8">
        <f>(J2/C18)*100</f>
        <v>44.737420347176446</v>
      </c>
    </row>
    <row r="9" spans="1:13">
      <c r="A9" t="s">
        <v>134</v>
      </c>
      <c r="B9">
        <v>180</v>
      </c>
      <c r="C9">
        <f>B9*'Types of users'!D11</f>
        <v>3420</v>
      </c>
      <c r="E9">
        <f>6*B17</f>
        <v>450</v>
      </c>
      <c r="H9">
        <f>(F2/C18)*100</f>
        <v>46.253570643814548</v>
      </c>
    </row>
    <row r="10" spans="1:13">
      <c r="A10" t="s">
        <v>135</v>
      </c>
      <c r="B10">
        <v>5</v>
      </c>
      <c r="C10">
        <f>'Types of users'!Y11*'Totals average weekday'!B10</f>
        <v>132.5</v>
      </c>
      <c r="E10">
        <f>((0.75*10)+(0.5*2)+(1*1))*5</f>
        <v>47.5</v>
      </c>
      <c r="F10">
        <f>SUM(E3:E16)-40</f>
        <v>2115</v>
      </c>
    </row>
    <row r="11" spans="1:13">
      <c r="A11" t="s">
        <v>136</v>
      </c>
      <c r="B11">
        <v>5</v>
      </c>
      <c r="C11">
        <v>132.5</v>
      </c>
      <c r="E11">
        <f>((0.75*10)+(0.5*2)+(1*1))*5</f>
        <v>47.5</v>
      </c>
    </row>
    <row r="12" spans="1:13">
      <c r="A12" t="s">
        <v>137</v>
      </c>
      <c r="B12">
        <v>125</v>
      </c>
      <c r="C12">
        <f>B12*'Types of users'!AB3</f>
        <v>0</v>
      </c>
    </row>
    <row r="13" spans="1:13">
      <c r="A13" t="s">
        <v>138</v>
      </c>
      <c r="B13">
        <v>150</v>
      </c>
      <c r="C13">
        <f>B13*'Types of users'!J11</f>
        <v>7200</v>
      </c>
      <c r="E13">
        <f>2.5*B5</f>
        <v>125</v>
      </c>
      <c r="J13">
        <f>(F2/J2)*100</f>
        <v>103.38899803536346</v>
      </c>
    </row>
    <row r="14" spans="1:13">
      <c r="A14" t="s">
        <v>139</v>
      </c>
    </row>
    <row r="15" spans="1:13">
      <c r="A15" t="s">
        <v>140</v>
      </c>
    </row>
    <row r="16" spans="1:13">
      <c r="A16" t="s">
        <v>108</v>
      </c>
      <c r="C16">
        <v>20</v>
      </c>
      <c r="E16">
        <v>125</v>
      </c>
    </row>
    <row r="17" spans="1:5">
      <c r="A17" t="s">
        <v>141</v>
      </c>
      <c r="B17">
        <v>75</v>
      </c>
      <c r="C17" s="4">
        <f>B17*'Types of users'!T11</f>
        <v>790</v>
      </c>
      <c r="E17">
        <f>E3+E4+E7+E8+E9+E10+E11+E13+E16</f>
        <v>2115</v>
      </c>
    </row>
    <row r="18" spans="1:5">
      <c r="A18" t="s">
        <v>142</v>
      </c>
      <c r="C18" s="4">
        <f>SUM(C2:C17)</f>
        <v>22755</v>
      </c>
    </row>
    <row r="19" spans="1:5">
      <c r="B19">
        <f>SUM(B2:B17)</f>
        <v>1140</v>
      </c>
      <c r="C19">
        <f>C18/1000</f>
        <v>22.754999999999999</v>
      </c>
      <c r="D19" t="s">
        <v>131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8FB23-9452-4EA5-A4CC-B2B50E129C6B}">
  <dimension ref="A1:M12"/>
  <sheetViews>
    <sheetView zoomScale="80" zoomScaleNormal="80" workbookViewId="0">
      <selection activeCell="B4" sqref="B4"/>
    </sheetView>
  </sheetViews>
  <sheetFormatPr defaultRowHeight="14.45"/>
  <cols>
    <col min="1" max="1" width="17.140625" bestFit="1" customWidth="1"/>
    <col min="5" max="5" width="10.140625" bestFit="1" customWidth="1"/>
    <col min="6" max="6" width="19.42578125" bestFit="1" customWidth="1"/>
    <col min="7" max="7" width="10" bestFit="1" customWidth="1"/>
    <col min="10" max="10" width="12.28515625" bestFit="1" customWidth="1"/>
    <col min="13" max="13" width="15" bestFit="1" customWidth="1"/>
  </cols>
  <sheetData>
    <row r="1" spans="1:13">
      <c r="A1" s="15" t="s">
        <v>143</v>
      </c>
      <c r="B1" s="15" t="s">
        <v>2</v>
      </c>
      <c r="F1" t="s">
        <v>94</v>
      </c>
      <c r="G1" t="s">
        <v>144</v>
      </c>
      <c r="J1" t="s">
        <v>145</v>
      </c>
      <c r="K1">
        <v>2132</v>
      </c>
      <c r="L1" t="s">
        <v>146</v>
      </c>
    </row>
    <row r="2" spans="1:13">
      <c r="A2" s="15" t="s">
        <v>147</v>
      </c>
      <c r="B2" s="16">
        <f>'Types of users'!AB2*'Totals average weekday'!B12</f>
        <v>3500</v>
      </c>
      <c r="F2" t="s">
        <v>58</v>
      </c>
      <c r="G2">
        <v>10</v>
      </c>
      <c r="J2" t="s">
        <v>31</v>
      </c>
      <c r="K2">
        <v>15</v>
      </c>
      <c r="L2" t="s">
        <v>148</v>
      </c>
      <c r="M2" t="s">
        <v>149</v>
      </c>
    </row>
    <row r="3" spans="1:13">
      <c r="A3" s="15" t="s">
        <v>150</v>
      </c>
      <c r="B3" s="16">
        <f>F8</f>
        <v>2450</v>
      </c>
      <c r="K3">
        <v>25</v>
      </c>
      <c r="L3" t="s">
        <v>148</v>
      </c>
    </row>
    <row r="4" spans="1:13">
      <c r="A4" s="15" t="s">
        <v>151</v>
      </c>
      <c r="B4" s="16">
        <f>((((4*2)+(6*1))*('Totals average weekday'!B2+'Totals average weekday'!B3+'Totals average weekday'!B8+'Totals average weekday'!B9+'Totals average weekday'!B10+'Totals average weekday'!B11+28)))+((4*2)*('Totals average weekday'!B4+'Totals average weekday'!B5))</f>
        <v>10572</v>
      </c>
      <c r="F4" t="s">
        <v>152</v>
      </c>
      <c r="G4">
        <v>30</v>
      </c>
    </row>
    <row r="5" spans="1:13">
      <c r="A5" s="15" t="s">
        <v>153</v>
      </c>
      <c r="B5" s="16">
        <f>'Totals average weekday'!E17</f>
        <v>2115</v>
      </c>
      <c r="K5">
        <f>K2/10</f>
        <v>1.5</v>
      </c>
      <c r="L5" t="s">
        <v>154</v>
      </c>
    </row>
    <row r="6" spans="1:13">
      <c r="A6" s="15" t="s">
        <v>112</v>
      </c>
      <c r="B6" s="16">
        <f>3*('Totals average weekday'!B2+'Totals average weekday'!B3+'Totals average weekday'!B4+'Totals average weekday'!B5+'Totals average weekday'!B8+'Totals average weekday'!B9+'Totals average weekday'!B10+'Totals average weekday'!B11)</f>
        <v>2310</v>
      </c>
      <c r="F6">
        <f>B2*0.1</f>
        <v>350</v>
      </c>
      <c r="K6">
        <v>2.5</v>
      </c>
      <c r="L6" t="s">
        <v>154</v>
      </c>
    </row>
    <row r="7" spans="1:13">
      <c r="A7" s="15" t="s">
        <v>155</v>
      </c>
      <c r="B7" s="16">
        <f>(5*6)*'Totals average weekday'!B13</f>
        <v>4500</v>
      </c>
      <c r="F7">
        <f>B2*0.3</f>
        <v>1050</v>
      </c>
    </row>
    <row r="8" spans="1:13">
      <c r="A8" s="15" t="s">
        <v>156</v>
      </c>
      <c r="B8" s="16">
        <f>35*2</f>
        <v>70</v>
      </c>
      <c r="E8" t="s">
        <v>157</v>
      </c>
      <c r="F8">
        <f>B2-(F7)</f>
        <v>2450</v>
      </c>
    </row>
    <row r="9" spans="1:13">
      <c r="A9" s="15" t="s">
        <v>158</v>
      </c>
      <c r="B9" s="16">
        <f>'Totals average weekday'!C17</f>
        <v>790</v>
      </c>
    </row>
    <row r="10" spans="1:13">
      <c r="A10" s="15" t="s">
        <v>159</v>
      </c>
      <c r="B10" s="16">
        <f>K1*K5</f>
        <v>3198</v>
      </c>
    </row>
    <row r="11" spans="1:13">
      <c r="A11" s="15" t="s">
        <v>160</v>
      </c>
      <c r="B11" s="16">
        <f>SUM(B3:B10)</f>
        <v>26005</v>
      </c>
    </row>
    <row r="12" spans="1:13">
      <c r="A12" s="15" t="s">
        <v>161</v>
      </c>
      <c r="B12" s="16">
        <f>B9+B7+B5+(20*2)+B8</f>
        <v>7515</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AA62A-2CF1-4EE7-B803-BE84581E6243}">
  <dimension ref="A1:V98"/>
  <sheetViews>
    <sheetView tabSelected="1" topLeftCell="A8" zoomScale="70" zoomScaleNormal="70" workbookViewId="0">
      <selection activeCell="J21" sqref="J21"/>
    </sheetView>
  </sheetViews>
  <sheetFormatPr defaultRowHeight="14.45"/>
  <cols>
    <col min="1" max="1" width="31.85546875" bestFit="1" customWidth="1"/>
    <col min="2" max="3" width="28.42578125" bestFit="1" customWidth="1"/>
    <col min="4" max="4" width="20.85546875" bestFit="1" customWidth="1"/>
    <col min="5" max="5" width="21.140625" bestFit="1" customWidth="1"/>
    <col min="6" max="6" width="21.140625" customWidth="1"/>
    <col min="7" max="7" width="19.28515625" bestFit="1" customWidth="1"/>
    <col min="8" max="8" width="18.28515625" bestFit="1" customWidth="1"/>
    <col min="9" max="9" width="13.85546875" bestFit="1" customWidth="1"/>
    <col min="11" max="11" width="11.42578125" bestFit="1" customWidth="1"/>
    <col min="13" max="13" width="19.42578125" bestFit="1" customWidth="1"/>
    <col min="14" max="15" width="23.140625" bestFit="1" customWidth="1"/>
    <col min="16" max="16" width="12.5703125" bestFit="1" customWidth="1"/>
    <col min="17" max="17" width="14.5703125" bestFit="1" customWidth="1"/>
    <col min="18" max="18" width="18" bestFit="1" customWidth="1"/>
    <col min="19" max="19" width="11" bestFit="1" customWidth="1"/>
    <col min="20" max="20" width="11.42578125" bestFit="1" customWidth="1"/>
    <col min="21" max="21" width="14.140625" bestFit="1" customWidth="1"/>
    <col min="22" max="22" width="14.5703125" bestFit="1" customWidth="1"/>
  </cols>
  <sheetData>
    <row r="1" spans="1:17">
      <c r="A1" s="15" t="s">
        <v>162</v>
      </c>
      <c r="B1" s="15" t="s">
        <v>163</v>
      </c>
      <c r="C1" s="15" t="s">
        <v>164</v>
      </c>
      <c r="D1" s="15" t="s">
        <v>165</v>
      </c>
      <c r="E1" s="15" t="s">
        <v>166</v>
      </c>
      <c r="F1" s="15" t="s">
        <v>167</v>
      </c>
      <c r="G1" s="15" t="s">
        <v>168</v>
      </c>
      <c r="H1" s="15" t="s">
        <v>169</v>
      </c>
      <c r="I1" s="15" t="s">
        <v>112</v>
      </c>
      <c r="J1" s="15" t="s">
        <v>97</v>
      </c>
      <c r="K1" s="15" t="s">
        <v>108</v>
      </c>
      <c r="L1" s="15" t="s">
        <v>159</v>
      </c>
      <c r="M1" s="15" t="s">
        <v>170</v>
      </c>
      <c r="N1" s="15" t="s">
        <v>171</v>
      </c>
      <c r="P1" s="15" t="s">
        <v>172</v>
      </c>
      <c r="Q1" s="15" t="s">
        <v>82</v>
      </c>
    </row>
    <row r="2" spans="1:17">
      <c r="A2" s="15" t="s">
        <v>173</v>
      </c>
      <c r="B2" s="16">
        <v>180</v>
      </c>
      <c r="C2" s="16">
        <v>180</v>
      </c>
      <c r="D2" s="16">
        <v>6</v>
      </c>
      <c r="E2" s="16">
        <v>0</v>
      </c>
      <c r="F2" s="16">
        <f>D2+E2</f>
        <v>6</v>
      </c>
      <c r="G2" s="16">
        <f>(1.5/2)*3</f>
        <v>2.25</v>
      </c>
      <c r="H2" s="16">
        <v>0</v>
      </c>
      <c r="I2" s="16">
        <v>3</v>
      </c>
      <c r="J2" s="16">
        <v>0</v>
      </c>
      <c r="K2" s="16">
        <v>0</v>
      </c>
      <c r="L2" s="16">
        <v>0</v>
      </c>
      <c r="M2" s="16">
        <f>(B2*SUM(E2:L2))</f>
        <v>2025</v>
      </c>
      <c r="N2" s="16"/>
      <c r="P2" s="15" t="s">
        <v>174</v>
      </c>
      <c r="Q2" s="16">
        <v>27</v>
      </c>
    </row>
    <row r="3" spans="1:17">
      <c r="A3" s="15" t="s">
        <v>175</v>
      </c>
      <c r="B3" s="16">
        <v>180</v>
      </c>
      <c r="C3" s="16">
        <v>180</v>
      </c>
      <c r="D3" s="16">
        <v>6</v>
      </c>
      <c r="E3" s="16">
        <v>8</v>
      </c>
      <c r="F3" s="16">
        <f>D3+E3</f>
        <v>14</v>
      </c>
      <c r="G3" s="16">
        <f t="shared" ref="G3:G12" si="0">(1.5/2)*3</f>
        <v>2.25</v>
      </c>
      <c r="H3" s="16">
        <v>0</v>
      </c>
      <c r="I3" s="16">
        <v>3</v>
      </c>
      <c r="J3" s="16">
        <v>0</v>
      </c>
      <c r="K3" s="16">
        <v>0</v>
      </c>
      <c r="L3" s="16">
        <v>0</v>
      </c>
      <c r="M3" s="16">
        <f>B3*SUM(F3:L3)</f>
        <v>3465</v>
      </c>
      <c r="N3" s="16"/>
      <c r="P3" s="15" t="s">
        <v>176</v>
      </c>
      <c r="Q3" s="16">
        <v>125</v>
      </c>
    </row>
    <row r="4" spans="1:17">
      <c r="A4" s="15" t="s">
        <v>177</v>
      </c>
      <c r="B4" s="16">
        <v>150</v>
      </c>
      <c r="C4" s="16">
        <v>255</v>
      </c>
      <c r="D4" s="16">
        <v>6</v>
      </c>
      <c r="E4" s="16">
        <v>0</v>
      </c>
      <c r="F4" s="16">
        <f t="shared" ref="F4:F15" si="1">D4+E4</f>
        <v>6</v>
      </c>
      <c r="G4" s="16">
        <f t="shared" si="0"/>
        <v>2.25</v>
      </c>
      <c r="H4" s="16">
        <v>0</v>
      </c>
      <c r="I4" s="16">
        <v>3</v>
      </c>
      <c r="J4" s="16">
        <v>0</v>
      </c>
      <c r="K4" s="16">
        <v>0</v>
      </c>
      <c r="L4" s="16">
        <v>0</v>
      </c>
      <c r="M4" s="16">
        <f>B4*SUM(E4:L4)</f>
        <v>1687.5</v>
      </c>
      <c r="N4" s="16"/>
      <c r="P4" s="15" t="s">
        <v>178</v>
      </c>
      <c r="Q4" s="50">
        <v>0.8</v>
      </c>
    </row>
    <row r="5" spans="1:17">
      <c r="A5" s="15" t="s">
        <v>179</v>
      </c>
      <c r="B5" s="16">
        <v>150</v>
      </c>
      <c r="C5" s="16">
        <v>255</v>
      </c>
      <c r="D5" s="16">
        <v>6</v>
      </c>
      <c r="E5" s="16">
        <v>8</v>
      </c>
      <c r="F5" s="16">
        <f t="shared" si="1"/>
        <v>14</v>
      </c>
      <c r="G5" s="16">
        <f t="shared" si="0"/>
        <v>2.25</v>
      </c>
      <c r="H5" s="16">
        <v>0</v>
      </c>
      <c r="I5" s="16">
        <v>3</v>
      </c>
      <c r="J5" s="16">
        <v>0</v>
      </c>
      <c r="K5" s="16">
        <v>0</v>
      </c>
      <c r="L5" s="16">
        <v>0</v>
      </c>
      <c r="M5" s="16">
        <f>SUM(F5:L5)*B5</f>
        <v>2887.5</v>
      </c>
      <c r="N5" s="16"/>
      <c r="P5" s="15" t="s">
        <v>180</v>
      </c>
      <c r="Q5" s="50">
        <v>0.3</v>
      </c>
    </row>
    <row r="6" spans="1:17">
      <c r="A6" s="15" t="s">
        <v>181</v>
      </c>
      <c r="B6" s="16">
        <v>50</v>
      </c>
      <c r="C6" s="16">
        <v>50</v>
      </c>
      <c r="D6" s="16">
        <v>0</v>
      </c>
      <c r="E6" s="16">
        <v>0</v>
      </c>
      <c r="F6" s="16">
        <f t="shared" si="1"/>
        <v>0</v>
      </c>
      <c r="G6" s="16">
        <f>(1.5/2)*2</f>
        <v>1.5</v>
      </c>
      <c r="H6" s="16">
        <v>0</v>
      </c>
      <c r="I6" s="16">
        <v>3</v>
      </c>
      <c r="J6" s="16">
        <v>0</v>
      </c>
      <c r="K6" s="16">
        <v>0</v>
      </c>
      <c r="L6" s="16">
        <v>0</v>
      </c>
      <c r="M6" s="16">
        <f>SUM(D6:L6)*C6</f>
        <v>225</v>
      </c>
      <c r="N6" s="16"/>
    </row>
    <row r="7" spans="1:17">
      <c r="A7" s="15" t="s">
        <v>182</v>
      </c>
      <c r="B7" s="16">
        <v>50</v>
      </c>
      <c r="C7" s="16">
        <v>50</v>
      </c>
      <c r="D7" s="16">
        <v>0</v>
      </c>
      <c r="E7" s="16">
        <v>8</v>
      </c>
      <c r="F7" s="16">
        <f t="shared" si="1"/>
        <v>8</v>
      </c>
      <c r="G7" s="16">
        <f>(1.5/2)*2</f>
        <v>1.5</v>
      </c>
      <c r="H7" s="16">
        <v>0</v>
      </c>
      <c r="I7" s="16">
        <v>3</v>
      </c>
      <c r="J7" s="16">
        <v>0</v>
      </c>
      <c r="K7" s="16">
        <v>0</v>
      </c>
      <c r="L7" s="16">
        <v>0</v>
      </c>
      <c r="M7" s="16">
        <f>SUM(F7:L7)*B7</f>
        <v>625</v>
      </c>
      <c r="N7" s="16"/>
    </row>
    <row r="8" spans="1:17">
      <c r="A8" s="15" t="s">
        <v>183</v>
      </c>
      <c r="B8" s="16">
        <v>10</v>
      </c>
      <c r="C8" s="16">
        <v>150</v>
      </c>
      <c r="D8" s="16">
        <v>0</v>
      </c>
      <c r="E8" s="16">
        <v>0</v>
      </c>
      <c r="F8" s="16">
        <f t="shared" si="1"/>
        <v>0</v>
      </c>
      <c r="G8" s="16">
        <v>0</v>
      </c>
      <c r="H8" s="16">
        <v>0</v>
      </c>
      <c r="I8" s="16">
        <v>0</v>
      </c>
      <c r="J8" s="16">
        <f>6*5</f>
        <v>30</v>
      </c>
      <c r="K8" s="16">
        <v>0</v>
      </c>
      <c r="L8" s="16">
        <v>0</v>
      </c>
      <c r="M8" s="16">
        <f>SUM(D8:L8)*B8</f>
        <v>300</v>
      </c>
      <c r="N8" s="16"/>
    </row>
    <row r="9" spans="1:17">
      <c r="A9" s="15" t="s">
        <v>184</v>
      </c>
      <c r="B9" s="16">
        <v>22</v>
      </c>
      <c r="C9" s="16">
        <v>28</v>
      </c>
      <c r="D9" s="16">
        <v>6</v>
      </c>
      <c r="E9" s="16">
        <v>0</v>
      </c>
      <c r="F9" s="16">
        <f t="shared" si="1"/>
        <v>6</v>
      </c>
      <c r="G9" s="16">
        <f t="shared" si="0"/>
        <v>2.25</v>
      </c>
      <c r="H9" s="16">
        <f>8.3*2</f>
        <v>16.600000000000001</v>
      </c>
      <c r="I9" s="16">
        <v>3</v>
      </c>
      <c r="J9" s="16">
        <v>0</v>
      </c>
      <c r="K9" s="16">
        <v>0</v>
      </c>
      <c r="L9" s="16">
        <v>0</v>
      </c>
      <c r="M9" s="16">
        <f>SUM(E9:L9)*B9</f>
        <v>612.70000000000005</v>
      </c>
      <c r="N9" s="16"/>
    </row>
    <row r="10" spans="1:17">
      <c r="A10" s="15" t="s">
        <v>185</v>
      </c>
      <c r="B10" s="16">
        <v>22</v>
      </c>
      <c r="C10" s="16">
        <v>28</v>
      </c>
      <c r="D10" s="16">
        <v>6</v>
      </c>
      <c r="E10" s="16">
        <v>8</v>
      </c>
      <c r="F10" s="16">
        <f t="shared" si="1"/>
        <v>14</v>
      </c>
      <c r="G10" s="16">
        <f t="shared" si="0"/>
        <v>2.25</v>
      </c>
      <c r="H10" s="16">
        <f>8.3*2</f>
        <v>16.600000000000001</v>
      </c>
      <c r="I10" s="16">
        <v>3</v>
      </c>
      <c r="J10" s="16">
        <v>0</v>
      </c>
      <c r="K10" s="16">
        <v>0</v>
      </c>
      <c r="L10" s="16">
        <v>0</v>
      </c>
      <c r="M10" s="16">
        <f>SUM(F10:L10)*B10</f>
        <v>788.7</v>
      </c>
      <c r="N10" s="16"/>
    </row>
    <row r="11" spans="1:17">
      <c r="A11" s="15" t="s">
        <v>186</v>
      </c>
      <c r="B11" s="16">
        <v>5</v>
      </c>
      <c r="C11" s="16">
        <v>5</v>
      </c>
      <c r="D11" s="16">
        <v>6</v>
      </c>
      <c r="E11" s="16">
        <v>0</v>
      </c>
      <c r="F11" s="16">
        <f t="shared" si="1"/>
        <v>6</v>
      </c>
      <c r="G11" s="16">
        <f t="shared" si="0"/>
        <v>2.25</v>
      </c>
      <c r="H11" s="16">
        <v>8.3000000000000007</v>
      </c>
      <c r="I11" s="16">
        <v>3</v>
      </c>
      <c r="J11" s="16">
        <v>0</v>
      </c>
      <c r="K11" s="16">
        <v>0</v>
      </c>
      <c r="L11" s="16">
        <v>0</v>
      </c>
      <c r="M11" s="16">
        <f>SUM(E11:L11)*B11</f>
        <v>97.75</v>
      </c>
      <c r="N11" s="16"/>
    </row>
    <row r="12" spans="1:17">
      <c r="A12" s="15" t="s">
        <v>93</v>
      </c>
      <c r="B12" s="16">
        <v>5</v>
      </c>
      <c r="C12" s="16">
        <v>5</v>
      </c>
      <c r="D12" s="16">
        <v>6</v>
      </c>
      <c r="E12" s="16">
        <v>8</v>
      </c>
      <c r="F12" s="16">
        <f t="shared" si="1"/>
        <v>14</v>
      </c>
      <c r="G12" s="16">
        <f t="shared" si="0"/>
        <v>2.25</v>
      </c>
      <c r="H12" s="16">
        <v>8.3000000000000007</v>
      </c>
      <c r="I12" s="16">
        <v>3</v>
      </c>
      <c r="J12" s="16">
        <v>0</v>
      </c>
      <c r="K12" s="16">
        <v>0</v>
      </c>
      <c r="L12" s="16">
        <v>0</v>
      </c>
      <c r="M12" s="16">
        <f>SUM(F12:L12)*B12</f>
        <v>137.75</v>
      </c>
      <c r="N12" s="16"/>
    </row>
    <row r="13" spans="1:17">
      <c r="A13" s="15" t="s">
        <v>187</v>
      </c>
      <c r="B13" s="16">
        <v>5</v>
      </c>
      <c r="C13" s="16">
        <v>5</v>
      </c>
      <c r="D13" s="16">
        <v>6</v>
      </c>
      <c r="E13" s="16">
        <v>8</v>
      </c>
      <c r="F13" s="16">
        <f t="shared" si="1"/>
        <v>14</v>
      </c>
      <c r="G13" s="16">
        <v>2.25</v>
      </c>
      <c r="H13" s="16">
        <v>0</v>
      </c>
      <c r="I13" s="16">
        <v>3</v>
      </c>
      <c r="J13" s="16">
        <v>0</v>
      </c>
      <c r="K13" s="16">
        <v>0</v>
      </c>
      <c r="L13" s="16">
        <f>'Generalised usage'!K1*'Generalised usage'!K5</f>
        <v>3198</v>
      </c>
      <c r="M13" s="16">
        <f>L13+(SUM(F13:I13)*B13)</f>
        <v>3294.25</v>
      </c>
      <c r="N13" s="16"/>
    </row>
    <row r="14" spans="1:17">
      <c r="A14" s="15" t="s">
        <v>172</v>
      </c>
      <c r="B14" s="16">
        <v>125</v>
      </c>
      <c r="C14" s="16">
        <v>125</v>
      </c>
      <c r="D14" s="16"/>
      <c r="E14" s="16"/>
      <c r="F14" s="16"/>
      <c r="G14" s="16"/>
      <c r="H14" s="16"/>
      <c r="I14" s="16"/>
      <c r="J14" s="16"/>
      <c r="K14" s="16"/>
      <c r="L14" s="16"/>
      <c r="M14" s="16">
        <f>B20</f>
        <v>1687.5</v>
      </c>
      <c r="N14" s="16"/>
    </row>
    <row r="15" spans="1:17">
      <c r="A15" s="15" t="s">
        <v>188</v>
      </c>
      <c r="B15" s="16">
        <v>75</v>
      </c>
      <c r="C15" s="16">
        <v>75</v>
      </c>
      <c r="D15" s="16">
        <v>0</v>
      </c>
      <c r="E15" s="16">
        <v>0</v>
      </c>
      <c r="F15" s="16">
        <f t="shared" si="1"/>
        <v>0</v>
      </c>
      <c r="G15" s="16">
        <v>0</v>
      </c>
      <c r="H15" s="16">
        <f>8.3/2</f>
        <v>4.1500000000000004</v>
      </c>
      <c r="I15" s="16">
        <v>3</v>
      </c>
      <c r="J15" s="16">
        <v>0</v>
      </c>
      <c r="K15" s="16">
        <f>10*(B15/2)</f>
        <v>375</v>
      </c>
      <c r="L15" s="16">
        <v>0</v>
      </c>
      <c r="M15" s="16">
        <f>(SUM(D15:J15)*B15)+K15</f>
        <v>911.25</v>
      </c>
      <c r="N15" s="16"/>
    </row>
    <row r="16" spans="1:17">
      <c r="A16" s="15" t="s">
        <v>189</v>
      </c>
      <c r="B16" s="16">
        <f>SUM(B2:B15)</f>
        <v>1029</v>
      </c>
      <c r="C16" s="16">
        <f>SUM(C2:C15)</f>
        <v>1391</v>
      </c>
      <c r="D16" s="16">
        <f>SUM(D2:D13)</f>
        <v>54</v>
      </c>
      <c r="E16" s="16">
        <f>SUM(E2:E13)</f>
        <v>48</v>
      </c>
      <c r="F16" s="16"/>
      <c r="G16" s="16">
        <f>SUM(G2:G13)</f>
        <v>23.25</v>
      </c>
      <c r="H16" s="16">
        <f>SUM(H9:H15)</f>
        <v>53.949999999999996</v>
      </c>
      <c r="I16" s="16">
        <f>SUM(I2:I15)</f>
        <v>36</v>
      </c>
      <c r="J16" s="16">
        <f>30</f>
        <v>30</v>
      </c>
      <c r="K16" s="16">
        <f>SUM(K2:K15)</f>
        <v>375</v>
      </c>
      <c r="L16" s="16">
        <f>SUM(L2:L15)</f>
        <v>3198</v>
      </c>
      <c r="M16" s="16">
        <f>SUM(M2:M15)</f>
        <v>18744.900000000001</v>
      </c>
      <c r="N16" s="16"/>
    </row>
    <row r="19" spans="1:5">
      <c r="A19" s="15" t="s">
        <v>190</v>
      </c>
      <c r="B19" s="15" t="s">
        <v>191</v>
      </c>
      <c r="C19" t="s">
        <v>192</v>
      </c>
      <c r="D19" t="s">
        <v>193</v>
      </c>
      <c r="E19">
        <f>B30</f>
        <v>3558.55</v>
      </c>
    </row>
    <row r="20" spans="1:5">
      <c r="A20" s="15" t="s">
        <v>94</v>
      </c>
      <c r="B20" s="16">
        <f>(Q2*Q3*0.8)-(Q2*Q3*0.3)</f>
        <v>1687.5</v>
      </c>
      <c r="C20">
        <f>(Q2*Q3)-(Q2*Q3*0.3)</f>
        <v>2362.5</v>
      </c>
      <c r="D20" t="s">
        <v>194</v>
      </c>
      <c r="E20">
        <f>B21+B20</f>
        <v>9297.5</v>
      </c>
    </row>
    <row r="21" spans="1:5">
      <c r="A21" s="15" t="s">
        <v>151</v>
      </c>
      <c r="B21" s="16">
        <f>(F2*B2)+(F3*B3)+(F4*B4)+(F5*B5)+(F6*B6)+(F7*B7)+(F9*B9)+(F10*B10)+(F11*B11)+(F12*B12)+(F13*B13)</f>
        <v>7610</v>
      </c>
      <c r="C21">
        <f>(F2*C2)+(F3*C3)+(F4*C4)+(F5*C5)+(F6*C6)+(F7*C7)+(F9*C9)+(F10*C10)+(F11*C11)+(F12*C12)+(F13*C13)</f>
        <v>9830</v>
      </c>
      <c r="D21" t="s">
        <v>195</v>
      </c>
      <c r="E21">
        <f>B23+B28</f>
        <v>5655</v>
      </c>
    </row>
    <row r="22" spans="1:5">
      <c r="A22" s="15" t="s">
        <v>196</v>
      </c>
      <c r="B22" s="16">
        <f>(G2*B2)+(G3*B3)+(G4*B4)+(G5*B5)+(G6*B6)+(G7*B7)+(G9*B9)+(G10*B10)+(G11*B11)+(G12*B12)+(G13*B13)</f>
        <v>1767.75</v>
      </c>
      <c r="C22">
        <f>(G2*C2)+(G3*C3)+(G4*C4)+(G5*C5)+(G6*C6)+(G7*C7)+(G9*C9)+(G10*C10)+(G11*C11)+(G12*C12)+(G13*C13)</f>
        <v>2267.25</v>
      </c>
    </row>
    <row r="23" spans="1:5">
      <c r="A23" s="15" t="s">
        <v>112</v>
      </c>
      <c r="B23" s="16">
        <f>(I2*B2)+(I3*B3)+(I4*B4)+(I5*B5)+(I6*B6)+(I7*B7)+(I9*B9)+(I10*B10)+(I11*B11)+(I12*B12)+(I13*B13)</f>
        <v>2457</v>
      </c>
      <c r="C23">
        <f>(I2*C2)+(I3*C3)+(I4*C4)+(I5*C5)+(I6*C6)+(I7*C7)+(I9*C9)+(I10*C10)+(I11*C11)+(I12*C12)+(I13*C13)</f>
        <v>3123</v>
      </c>
      <c r="D23" t="s">
        <v>190</v>
      </c>
      <c r="E23" t="s">
        <v>191</v>
      </c>
    </row>
    <row r="24" spans="1:5">
      <c r="A24" s="15" t="s">
        <v>155</v>
      </c>
      <c r="B24" s="16">
        <f>M8</f>
        <v>300</v>
      </c>
      <c r="C24">
        <v>300</v>
      </c>
      <c r="D24" t="s">
        <v>151</v>
      </c>
      <c r="E24">
        <f>B21</f>
        <v>7610</v>
      </c>
    </row>
    <row r="25" spans="1:5">
      <c r="A25" s="15" t="s">
        <v>197</v>
      </c>
      <c r="B25" s="16">
        <f>(H9*B9)+(H10+B10)+(H11+B11)+(H12+B12)+(H15+B15)</f>
        <v>509.55000000000007</v>
      </c>
      <c r="C25">
        <f>(H9*C9)+(H10+C10)+(H11+C11)+(H12+C12)+(H15+C15)</f>
        <v>615.15</v>
      </c>
      <c r="D25" t="s">
        <v>159</v>
      </c>
      <c r="E25">
        <v>3198</v>
      </c>
    </row>
    <row r="26" spans="1:5">
      <c r="A26" s="15" t="s">
        <v>156</v>
      </c>
      <c r="B26" s="16">
        <f>2*35</f>
        <v>70</v>
      </c>
      <c r="C26">
        <v>70</v>
      </c>
      <c r="D26" t="s">
        <v>161</v>
      </c>
      <c r="E26">
        <f>B30</f>
        <v>3558.55</v>
      </c>
    </row>
    <row r="27" spans="1:5">
      <c r="A27" s="15" t="s">
        <v>158</v>
      </c>
      <c r="B27" s="16">
        <f>M15</f>
        <v>911.25</v>
      </c>
      <c r="C27">
        <f>(SUM(D15:J15)*C15)+K15</f>
        <v>911.25</v>
      </c>
    </row>
    <row r="28" spans="1:5">
      <c r="A28" s="15" t="s">
        <v>159</v>
      </c>
      <c r="B28" s="16">
        <f>L13</f>
        <v>3198</v>
      </c>
      <c r="C28">
        <f>B28</f>
        <v>3198</v>
      </c>
      <c r="E28">
        <f>B21+B28</f>
        <v>10808</v>
      </c>
    </row>
    <row r="29" spans="1:5">
      <c r="A29" s="15" t="s">
        <v>160</v>
      </c>
      <c r="B29" s="16">
        <f>SUM(B20:B28)</f>
        <v>18511.05</v>
      </c>
      <c r="C29">
        <f>SUM(C20:C28)</f>
        <v>22677.15</v>
      </c>
      <c r="E29">
        <f>B30/B21</f>
        <v>0.46761498028909332</v>
      </c>
    </row>
    <row r="30" spans="1:5">
      <c r="A30" s="15" t="s">
        <v>161</v>
      </c>
      <c r="B30" s="16">
        <f>B22+B24+B26+B27+B25</f>
        <v>3558.55</v>
      </c>
      <c r="C30">
        <f>SUM(C22+C25+C24+C27+C26)</f>
        <v>4163.6499999999996</v>
      </c>
      <c r="E30">
        <f>(B21+B28)/B29</f>
        <v>0.5838674737521643</v>
      </c>
    </row>
    <row r="31" spans="1:5">
      <c r="E31">
        <f>(B30)/(B21+B28)</f>
        <v>0.3292514803849001</v>
      </c>
    </row>
    <row r="32" spans="1:5">
      <c r="A32" s="2" t="s">
        <v>198</v>
      </c>
      <c r="D32" t="s">
        <v>151</v>
      </c>
    </row>
    <row r="33" spans="1:22">
      <c r="A33" s="15" t="s">
        <v>190</v>
      </c>
      <c r="B33" s="15" t="s">
        <v>191</v>
      </c>
      <c r="D33" s="15" t="s">
        <v>190</v>
      </c>
      <c r="E33" s="15" t="s">
        <v>191</v>
      </c>
      <c r="G33" s="15" t="s">
        <v>190</v>
      </c>
      <c r="H33" s="15" t="s">
        <v>191</v>
      </c>
      <c r="I33" s="56" t="s">
        <v>102</v>
      </c>
    </row>
    <row r="34" spans="1:22">
      <c r="A34" s="15" t="s">
        <v>94</v>
      </c>
      <c r="B34" s="16">
        <v>1687.5</v>
      </c>
      <c r="D34" s="15" t="s">
        <v>94</v>
      </c>
      <c r="E34" s="16">
        <v>1687.5</v>
      </c>
      <c r="G34" s="15" t="s">
        <v>94</v>
      </c>
      <c r="H34" s="16">
        <v>1687.5</v>
      </c>
    </row>
    <row r="35" spans="1:22">
      <c r="A35" s="15" t="s">
        <v>151</v>
      </c>
      <c r="B35" s="16">
        <f>((F3)*(B2+B3+B4+B5+B9+B10+B11+B12+B13))+((F7)*(B6+B7))</f>
        <v>10866</v>
      </c>
      <c r="D35" s="15" t="s">
        <v>151</v>
      </c>
      <c r="E35" s="16">
        <f>(27*(B2+B3+B4+B5+B9+B10+B11+B12+B13))+(18*(B6+B7))</f>
        <v>21213</v>
      </c>
      <c r="G35" s="15" t="s">
        <v>151</v>
      </c>
      <c r="H35" s="16">
        <v>7610</v>
      </c>
      <c r="M35" s="15" t="s">
        <v>199</v>
      </c>
      <c r="N35" s="15" t="s">
        <v>191</v>
      </c>
      <c r="O35" t="s">
        <v>198</v>
      </c>
      <c r="P35" t="s">
        <v>68</v>
      </c>
      <c r="Q35" t="s">
        <v>55</v>
      </c>
      <c r="R35" t="s">
        <v>60</v>
      </c>
      <c r="S35" t="s">
        <v>57</v>
      </c>
      <c r="T35" t="s">
        <v>200</v>
      </c>
      <c r="U35" t="s">
        <v>201</v>
      </c>
      <c r="V35" t="s">
        <v>202</v>
      </c>
    </row>
    <row r="36" spans="1:22">
      <c r="A36" s="15" t="s">
        <v>203</v>
      </c>
      <c r="B36" s="16">
        <v>1767.75</v>
      </c>
      <c r="D36" s="15" t="s">
        <v>196</v>
      </c>
      <c r="E36" s="16">
        <v>1767.75</v>
      </c>
      <c r="G36" s="15" t="s">
        <v>196</v>
      </c>
      <c r="H36" s="16">
        <f>((6)*(B2+B3+B4+B5+B9+B10+B11+B12+B13))+((4)*(B6+B7))</f>
        <v>4714</v>
      </c>
      <c r="M36" s="57" t="s">
        <v>94</v>
      </c>
      <c r="N36">
        <f>B20</f>
        <v>1687.5</v>
      </c>
      <c r="O36">
        <f>N36</f>
        <v>1687.5</v>
      </c>
      <c r="P36">
        <f t="shared" ref="P36:U36" si="2">O36</f>
        <v>1687.5</v>
      </c>
      <c r="Q36">
        <f t="shared" si="2"/>
        <v>1687.5</v>
      </c>
      <c r="R36">
        <f t="shared" si="2"/>
        <v>1687.5</v>
      </c>
      <c r="S36">
        <f t="shared" si="2"/>
        <v>1687.5</v>
      </c>
      <c r="T36">
        <f t="shared" si="2"/>
        <v>1687.5</v>
      </c>
      <c r="U36">
        <f t="shared" si="2"/>
        <v>1687.5</v>
      </c>
      <c r="V36">
        <f>U36</f>
        <v>1687.5</v>
      </c>
    </row>
    <row r="37" spans="1:22">
      <c r="A37" s="15" t="s">
        <v>112</v>
      </c>
      <c r="B37" s="16">
        <v>2457</v>
      </c>
      <c r="D37" s="15" t="s">
        <v>112</v>
      </c>
      <c r="E37" s="16">
        <v>2457</v>
      </c>
      <c r="G37" s="15" t="s">
        <v>112</v>
      </c>
      <c r="H37" s="16">
        <v>2457</v>
      </c>
      <c r="M37" s="15" t="s">
        <v>151</v>
      </c>
      <c r="N37">
        <f>E35</f>
        <v>21213</v>
      </c>
      <c r="O37">
        <f>B21</f>
        <v>7610</v>
      </c>
      <c r="P37">
        <f>B35</f>
        <v>10866</v>
      </c>
      <c r="Q37">
        <f>N37</f>
        <v>21213</v>
      </c>
      <c r="R37">
        <f>Q37</f>
        <v>21213</v>
      </c>
      <c r="S37">
        <f>R37</f>
        <v>21213</v>
      </c>
      <c r="T37">
        <f t="shared" ref="T37:U37" si="3">Q37</f>
        <v>21213</v>
      </c>
      <c r="U37">
        <f t="shared" si="3"/>
        <v>21213</v>
      </c>
      <c r="V37">
        <f>O37</f>
        <v>7610</v>
      </c>
    </row>
    <row r="38" spans="1:22">
      <c r="A38" s="15" t="s">
        <v>155</v>
      </c>
      <c r="B38" s="16">
        <v>300</v>
      </c>
      <c r="D38" s="15" t="s">
        <v>155</v>
      </c>
      <c r="E38" s="16">
        <v>300</v>
      </c>
      <c r="G38" s="15" t="s">
        <v>155</v>
      </c>
      <c r="H38" s="16">
        <v>300</v>
      </c>
      <c r="M38" s="15" t="s">
        <v>196</v>
      </c>
      <c r="N38">
        <f>H36</f>
        <v>4714</v>
      </c>
      <c r="O38">
        <f>N38</f>
        <v>4714</v>
      </c>
      <c r="P38">
        <f t="shared" ref="P38:R38" si="4">O38</f>
        <v>4714</v>
      </c>
      <c r="Q38">
        <f t="shared" si="4"/>
        <v>4714</v>
      </c>
      <c r="R38">
        <f t="shared" si="4"/>
        <v>4714</v>
      </c>
      <c r="S38">
        <f>B22</f>
        <v>1767.75</v>
      </c>
      <c r="T38">
        <f>N38</f>
        <v>4714</v>
      </c>
      <c r="U38">
        <f>O38</f>
        <v>4714</v>
      </c>
      <c r="V38">
        <f>S38</f>
        <v>1767.75</v>
      </c>
    </row>
    <row r="39" spans="1:22">
      <c r="A39" s="15" t="s">
        <v>197</v>
      </c>
      <c r="B39" s="16">
        <v>509.55000000000007</v>
      </c>
      <c r="D39" s="15" t="s">
        <v>197</v>
      </c>
      <c r="E39" s="16">
        <v>509.55000000000007</v>
      </c>
      <c r="G39" s="15" t="s">
        <v>197</v>
      </c>
      <c r="H39" s="16">
        <v>509.55000000000007</v>
      </c>
      <c r="M39" s="15" t="s">
        <v>112</v>
      </c>
      <c r="N39">
        <f>H37</f>
        <v>2457</v>
      </c>
      <c r="O39">
        <f>N39</f>
        <v>2457</v>
      </c>
      <c r="P39">
        <f t="shared" ref="P39:U39" si="5">O39</f>
        <v>2457</v>
      </c>
      <c r="Q39">
        <f t="shared" si="5"/>
        <v>2457</v>
      </c>
      <c r="R39">
        <f t="shared" si="5"/>
        <v>2457</v>
      </c>
      <c r="S39">
        <f t="shared" si="5"/>
        <v>2457</v>
      </c>
      <c r="T39">
        <f t="shared" si="5"/>
        <v>2457</v>
      </c>
      <c r="U39">
        <f t="shared" si="5"/>
        <v>2457</v>
      </c>
      <c r="V39">
        <f>U39</f>
        <v>2457</v>
      </c>
    </row>
    <row r="40" spans="1:22">
      <c r="A40" s="15" t="s">
        <v>156</v>
      </c>
      <c r="B40" s="16">
        <v>70</v>
      </c>
      <c r="D40" s="15" t="s">
        <v>156</v>
      </c>
      <c r="E40" s="16">
        <v>70</v>
      </c>
      <c r="G40" s="15" t="s">
        <v>156</v>
      </c>
      <c r="H40" s="16">
        <v>70</v>
      </c>
      <c r="M40" s="15" t="s">
        <v>155</v>
      </c>
      <c r="N40">
        <f>B67</f>
        <v>600</v>
      </c>
      <c r="O40">
        <f>N40</f>
        <v>600</v>
      </c>
      <c r="P40">
        <f>O40</f>
        <v>600</v>
      </c>
      <c r="Q40">
        <f>6*8*10</f>
        <v>480</v>
      </c>
      <c r="R40">
        <f>B24</f>
        <v>300</v>
      </c>
      <c r="S40">
        <f>600</f>
        <v>600</v>
      </c>
      <c r="T40">
        <f t="shared" ref="T40:U40" si="6">R40</f>
        <v>300</v>
      </c>
      <c r="U40">
        <f t="shared" si="6"/>
        <v>600</v>
      </c>
      <c r="V40">
        <f>R40</f>
        <v>300</v>
      </c>
    </row>
    <row r="41" spans="1:22">
      <c r="A41" s="15" t="s">
        <v>158</v>
      </c>
      <c r="B41" s="16">
        <v>911.25</v>
      </c>
      <c r="D41" s="15" t="s">
        <v>158</v>
      </c>
      <c r="E41" s="16">
        <v>911.25</v>
      </c>
      <c r="G41" s="15" t="s">
        <v>158</v>
      </c>
      <c r="H41" s="16">
        <v>911.25</v>
      </c>
      <c r="M41" s="15" t="s">
        <v>197</v>
      </c>
      <c r="N41">
        <f>B39</f>
        <v>509.55000000000007</v>
      </c>
      <c r="O41">
        <f>N41</f>
        <v>509.55000000000007</v>
      </c>
      <c r="P41">
        <f t="shared" ref="P41:U41" si="7">O41</f>
        <v>509.55000000000007</v>
      </c>
      <c r="Q41">
        <f t="shared" si="7"/>
        <v>509.55000000000007</v>
      </c>
      <c r="R41">
        <f t="shared" si="7"/>
        <v>509.55000000000007</v>
      </c>
      <c r="S41">
        <f t="shared" si="7"/>
        <v>509.55000000000007</v>
      </c>
      <c r="T41">
        <f t="shared" si="7"/>
        <v>509.55000000000007</v>
      </c>
      <c r="U41">
        <f t="shared" si="7"/>
        <v>509.55000000000007</v>
      </c>
      <c r="V41">
        <f>Q41</f>
        <v>509.55000000000007</v>
      </c>
    </row>
    <row r="42" spans="1:22">
      <c r="A42" s="15" t="s">
        <v>159</v>
      </c>
      <c r="B42" s="16">
        <v>3198</v>
      </c>
      <c r="D42" s="15" t="s">
        <v>159</v>
      </c>
      <c r="E42" s="16">
        <v>3198</v>
      </c>
      <c r="G42" s="15" t="s">
        <v>159</v>
      </c>
      <c r="H42" s="16">
        <v>3198</v>
      </c>
      <c r="M42" s="15" t="s">
        <v>156</v>
      </c>
      <c r="N42">
        <f>B54</f>
        <v>100</v>
      </c>
      <c r="O42">
        <f>N42</f>
        <v>100</v>
      </c>
      <c r="P42">
        <f t="shared" ref="P42:T43" si="8">O42</f>
        <v>100</v>
      </c>
      <c r="Q42">
        <f t="shared" si="8"/>
        <v>100</v>
      </c>
      <c r="R42">
        <f t="shared" si="8"/>
        <v>100</v>
      </c>
      <c r="S42">
        <f t="shared" si="8"/>
        <v>100</v>
      </c>
      <c r="T42">
        <v>70</v>
      </c>
      <c r="U42">
        <v>100</v>
      </c>
      <c r="V42">
        <f>T42</f>
        <v>70</v>
      </c>
    </row>
    <row r="43" spans="1:22">
      <c r="A43" s="15" t="s">
        <v>160</v>
      </c>
      <c r="B43" s="16">
        <f>SUM(B34:B42)</f>
        <v>21767.05</v>
      </c>
      <c r="D43" s="15" t="s">
        <v>160</v>
      </c>
      <c r="E43" s="16">
        <f>SUM(E34:E42)</f>
        <v>32114.05</v>
      </c>
      <c r="G43" s="15" t="s">
        <v>160</v>
      </c>
      <c r="H43" s="16">
        <f>SUM(H34:H42)</f>
        <v>21457.3</v>
      </c>
      <c r="M43" s="15" t="s">
        <v>158</v>
      </c>
      <c r="N43">
        <f>E55</f>
        <v>1061.25</v>
      </c>
      <c r="O43">
        <f>E55</f>
        <v>1061.25</v>
      </c>
      <c r="P43">
        <f t="shared" si="8"/>
        <v>1061.25</v>
      </c>
      <c r="Q43">
        <f t="shared" si="8"/>
        <v>1061.25</v>
      </c>
      <c r="R43">
        <f t="shared" si="8"/>
        <v>1061.25</v>
      </c>
      <c r="S43">
        <f t="shared" si="8"/>
        <v>1061.25</v>
      </c>
      <c r="T43">
        <f t="shared" si="8"/>
        <v>1061.25</v>
      </c>
      <c r="U43">
        <f>B27</f>
        <v>911.25</v>
      </c>
      <c r="V43">
        <f>T43</f>
        <v>1061.25</v>
      </c>
    </row>
    <row r="44" spans="1:22">
      <c r="A44" s="15" t="s">
        <v>161</v>
      </c>
      <c r="B44" s="16">
        <v>7833.55</v>
      </c>
      <c r="D44" s="15" t="s">
        <v>161</v>
      </c>
      <c r="E44" s="16">
        <v>7833.55</v>
      </c>
      <c r="G44" s="15" t="s">
        <v>161</v>
      </c>
      <c r="H44" s="16">
        <f>H41+H39+H36+H38+H40</f>
        <v>6504.8</v>
      </c>
      <c r="M44" s="15" t="s">
        <v>159</v>
      </c>
      <c r="N44">
        <f>H42</f>
        <v>3198</v>
      </c>
      <c r="O44">
        <f>N44</f>
        <v>3198</v>
      </c>
      <c r="P44">
        <f t="shared" ref="P44:U44" si="9">O44</f>
        <v>3198</v>
      </c>
      <c r="Q44">
        <f t="shared" si="9"/>
        <v>3198</v>
      </c>
      <c r="R44">
        <f t="shared" si="9"/>
        <v>3198</v>
      </c>
      <c r="S44">
        <f t="shared" si="9"/>
        <v>3198</v>
      </c>
      <c r="T44">
        <f t="shared" si="9"/>
        <v>3198</v>
      </c>
      <c r="U44">
        <f t="shared" si="9"/>
        <v>3198</v>
      </c>
      <c r="V44">
        <f>T44</f>
        <v>3198</v>
      </c>
    </row>
    <row r="45" spans="1:22">
      <c r="M45" s="15" t="s">
        <v>160</v>
      </c>
      <c r="N45">
        <f>SUM(N36:N44)</f>
        <v>35540.300000000003</v>
      </c>
      <c r="O45">
        <f>SUM(O36:O44)</f>
        <v>21937.3</v>
      </c>
      <c r="P45">
        <f t="shared" ref="P45:V45" si="10">SUM(P36:P44)</f>
        <v>25193.3</v>
      </c>
      <c r="Q45">
        <f t="shared" si="10"/>
        <v>35420.300000000003</v>
      </c>
      <c r="R45">
        <f>SUM(R36:R44)</f>
        <v>35240.300000000003</v>
      </c>
      <c r="S45">
        <f t="shared" si="10"/>
        <v>32594.05</v>
      </c>
      <c r="T45">
        <f t="shared" si="10"/>
        <v>35210.300000000003</v>
      </c>
      <c r="U45">
        <f t="shared" si="10"/>
        <v>35390.300000000003</v>
      </c>
      <c r="V45">
        <f t="shared" si="10"/>
        <v>18661.05</v>
      </c>
    </row>
    <row r="46" spans="1:22">
      <c r="A46" s="2" t="s">
        <v>204</v>
      </c>
      <c r="D46" s="2" t="s">
        <v>26</v>
      </c>
      <c r="G46" s="2" t="s">
        <v>205</v>
      </c>
      <c r="M46" s="15" t="s">
        <v>161</v>
      </c>
      <c r="N46">
        <f>N38+N40+N41+N42+N43</f>
        <v>6984.8</v>
      </c>
    </row>
    <row r="47" spans="1:22">
      <c r="A47" s="15" t="s">
        <v>190</v>
      </c>
      <c r="B47" s="15" t="s">
        <v>191</v>
      </c>
      <c r="D47" s="15" t="s">
        <v>190</v>
      </c>
      <c r="E47" s="15" t="s">
        <v>191</v>
      </c>
      <c r="G47" s="15" t="s">
        <v>190</v>
      </c>
      <c r="H47" s="15" t="s">
        <v>191</v>
      </c>
    </row>
    <row r="48" spans="1:22">
      <c r="A48" s="15" t="s">
        <v>94</v>
      </c>
      <c r="B48" s="16">
        <v>1687.5</v>
      </c>
      <c r="D48" s="15" t="s">
        <v>94</v>
      </c>
      <c r="E48" s="16">
        <v>1687.5</v>
      </c>
      <c r="G48" s="15" t="s">
        <v>94</v>
      </c>
      <c r="H48" s="16">
        <v>1687.5</v>
      </c>
    </row>
    <row r="49" spans="1:15">
      <c r="A49" s="15" t="s">
        <v>151</v>
      </c>
      <c r="B49" s="16">
        <v>7610</v>
      </c>
      <c r="D49" s="15" t="s">
        <v>151</v>
      </c>
      <c r="E49" s="16">
        <v>7610</v>
      </c>
      <c r="G49" s="15" t="s">
        <v>151</v>
      </c>
      <c r="H49" s="16">
        <v>7610</v>
      </c>
    </row>
    <row r="50" spans="1:15">
      <c r="A50" s="15" t="s">
        <v>196</v>
      </c>
      <c r="B50" s="16">
        <v>1767.75</v>
      </c>
      <c r="D50" s="15" t="s">
        <v>196</v>
      </c>
      <c r="E50" s="16">
        <v>1767.75</v>
      </c>
      <c r="G50" s="15" t="s">
        <v>196</v>
      </c>
      <c r="H50" s="16">
        <v>1767.75</v>
      </c>
    </row>
    <row r="51" spans="1:15">
      <c r="A51" s="15" t="s">
        <v>112</v>
      </c>
      <c r="B51" s="16">
        <v>2457</v>
      </c>
      <c r="D51" s="15" t="s">
        <v>112</v>
      </c>
      <c r="E51" s="16">
        <v>2457</v>
      </c>
      <c r="G51" s="15" t="s">
        <v>112</v>
      </c>
      <c r="H51" s="16">
        <v>2457</v>
      </c>
    </row>
    <row r="52" spans="1:15">
      <c r="A52" s="15" t="s">
        <v>155</v>
      </c>
      <c r="B52" s="16">
        <v>300</v>
      </c>
      <c r="D52" s="15" t="s">
        <v>155</v>
      </c>
      <c r="E52" s="16">
        <v>300</v>
      </c>
      <c r="G52" s="15" t="s">
        <v>155</v>
      </c>
      <c r="H52" s="16">
        <f>(6*8)*B8</f>
        <v>480</v>
      </c>
      <c r="M52" t="s">
        <v>206</v>
      </c>
      <c r="N52" t="s">
        <v>52</v>
      </c>
      <c r="O52" t="s">
        <v>207</v>
      </c>
    </row>
    <row r="53" spans="1:15">
      <c r="A53" s="15" t="s">
        <v>197</v>
      </c>
      <c r="B53" s="16">
        <v>509.55000000000007</v>
      </c>
      <c r="D53" s="15" t="s">
        <v>197</v>
      </c>
      <c r="E53" s="16">
        <v>509.55000000000007</v>
      </c>
      <c r="G53" s="15" t="s">
        <v>197</v>
      </c>
      <c r="H53" s="16">
        <v>509.55000000000007</v>
      </c>
      <c r="M53" t="s">
        <v>54</v>
      </c>
      <c r="N53">
        <f>N45</f>
        <v>35540.300000000003</v>
      </c>
      <c r="O53" s="4">
        <v>100</v>
      </c>
    </row>
    <row r="54" spans="1:15">
      <c r="A54" s="15" t="s">
        <v>156</v>
      </c>
      <c r="B54" s="16">
        <f>2*50</f>
        <v>100</v>
      </c>
      <c r="D54" s="15" t="s">
        <v>156</v>
      </c>
      <c r="E54" s="16">
        <v>70</v>
      </c>
      <c r="G54" s="15" t="s">
        <v>156</v>
      </c>
      <c r="H54" s="16">
        <v>70</v>
      </c>
      <c r="M54" t="s">
        <v>208</v>
      </c>
      <c r="N54">
        <f>O45</f>
        <v>21937.3</v>
      </c>
      <c r="O54" s="4">
        <f>100-((N54/$N$53)*100)</f>
        <v>38.274859807035966</v>
      </c>
    </row>
    <row r="55" spans="1:15">
      <c r="A55" s="15" t="s">
        <v>158</v>
      </c>
      <c r="B55" s="16">
        <v>911.25</v>
      </c>
      <c r="D55" s="15" t="s">
        <v>158</v>
      </c>
      <c r="E55" s="16">
        <f>((B15)*(H15+I15))+((14*(75/2)))</f>
        <v>1061.25</v>
      </c>
      <c r="G55" s="15" t="s">
        <v>158</v>
      </c>
      <c r="H55" s="16">
        <v>911.25</v>
      </c>
      <c r="M55" t="s">
        <v>56</v>
      </c>
      <c r="N55">
        <f>P45</f>
        <v>25193.3</v>
      </c>
      <c r="O55" s="4">
        <f t="shared" ref="O55:O61" si="11">100-((N55/$N$53)*100)</f>
        <v>29.113428980622004</v>
      </c>
    </row>
    <row r="56" spans="1:15">
      <c r="A56" s="15" t="s">
        <v>159</v>
      </c>
      <c r="B56" s="16">
        <v>3198</v>
      </c>
      <c r="D56" s="15" t="s">
        <v>159</v>
      </c>
      <c r="E56" s="16">
        <v>3198</v>
      </c>
      <c r="G56" s="15" t="s">
        <v>159</v>
      </c>
      <c r="H56" s="16">
        <v>3198</v>
      </c>
      <c r="M56" t="s">
        <v>55</v>
      </c>
      <c r="N56">
        <f>Q45</f>
        <v>35420.300000000003</v>
      </c>
      <c r="O56" s="4">
        <f t="shared" si="11"/>
        <v>0.3376448707523565</v>
      </c>
    </row>
    <row r="57" spans="1:15">
      <c r="A57" s="15" t="s">
        <v>160</v>
      </c>
      <c r="B57" s="16">
        <f>SUM(B48:B56)</f>
        <v>18541.05</v>
      </c>
      <c r="D57" s="15" t="s">
        <v>160</v>
      </c>
      <c r="E57" s="16">
        <f>SUM(E48:E56)</f>
        <v>18661.05</v>
      </c>
      <c r="G57" s="15" t="s">
        <v>160</v>
      </c>
      <c r="H57" s="16">
        <f>SUM(H48:H56)</f>
        <v>18691.05</v>
      </c>
      <c r="M57" t="s">
        <v>60</v>
      </c>
      <c r="N57">
        <f>R45</f>
        <v>35240.300000000003</v>
      </c>
      <c r="O57" s="4">
        <f t="shared" si="11"/>
        <v>0.84411217688089835</v>
      </c>
    </row>
    <row r="58" spans="1:15">
      <c r="A58" s="15" t="s">
        <v>161</v>
      </c>
      <c r="B58" s="16">
        <f>B50+B52+B53+B54+B55</f>
        <v>3588.55</v>
      </c>
      <c r="D58" s="15" t="s">
        <v>161</v>
      </c>
      <c r="E58" s="16">
        <f>E50+E52+E53+E54+E55</f>
        <v>3708.55</v>
      </c>
      <c r="G58" s="15" t="s">
        <v>161</v>
      </c>
      <c r="H58" s="16">
        <f>H50+H52+H53+H54+H55</f>
        <v>3738.55</v>
      </c>
      <c r="M58" t="s">
        <v>57</v>
      </c>
      <c r="N58">
        <f>S45</f>
        <v>32594.05</v>
      </c>
      <c r="O58" s="4">
        <f t="shared" si="11"/>
        <v>8.2898850037844483</v>
      </c>
    </row>
    <row r="59" spans="1:15">
      <c r="M59" t="s">
        <v>209</v>
      </c>
      <c r="N59">
        <f>T45</f>
        <v>35210.300000000003</v>
      </c>
      <c r="O59" s="4">
        <f t="shared" si="11"/>
        <v>0.92852339456898392</v>
      </c>
    </row>
    <row r="60" spans="1:15">
      <c r="M60" t="s">
        <v>210</v>
      </c>
      <c r="N60">
        <f>U45</f>
        <v>35390.300000000003</v>
      </c>
      <c r="O60" s="4">
        <f>100-((N60/$N$53)*100)</f>
        <v>0.42205608844044207</v>
      </c>
    </row>
    <row r="61" spans="1:15">
      <c r="A61" s="2" t="s">
        <v>211</v>
      </c>
      <c r="M61" t="s">
        <v>212</v>
      </c>
      <c r="N61">
        <f>V45</f>
        <v>18661.05</v>
      </c>
      <c r="O61" s="4">
        <f t="shared" si="11"/>
        <v>47.493268205389384</v>
      </c>
    </row>
    <row r="62" spans="1:15">
      <c r="A62" s="15" t="s">
        <v>190</v>
      </c>
      <c r="B62" s="15" t="s">
        <v>191</v>
      </c>
    </row>
    <row r="63" spans="1:15">
      <c r="A63" s="15" t="s">
        <v>94</v>
      </c>
      <c r="B63" s="16">
        <v>1687.5</v>
      </c>
    </row>
    <row r="64" spans="1:15">
      <c r="A64" s="15" t="s">
        <v>151</v>
      </c>
      <c r="B64" s="16">
        <v>7610</v>
      </c>
    </row>
    <row r="65" spans="1:14">
      <c r="A65" s="15" t="s">
        <v>196</v>
      </c>
      <c r="B65" s="16">
        <v>1767.75</v>
      </c>
      <c r="M65" t="s">
        <v>206</v>
      </c>
      <c r="N65" t="s">
        <v>207</v>
      </c>
    </row>
    <row r="66" spans="1:14">
      <c r="A66" s="15" t="s">
        <v>112</v>
      </c>
      <c r="B66" s="16">
        <v>2457</v>
      </c>
      <c r="M66" t="s">
        <v>54</v>
      </c>
      <c r="N66" s="4">
        <v>100</v>
      </c>
    </row>
    <row r="67" spans="1:14">
      <c r="A67" s="15" t="s">
        <v>155</v>
      </c>
      <c r="B67" s="16">
        <f>(12*5)*B8</f>
        <v>600</v>
      </c>
      <c r="M67" t="s">
        <v>208</v>
      </c>
      <c r="N67" s="4">
        <v>38.274859807035966</v>
      </c>
    </row>
    <row r="68" spans="1:14">
      <c r="A68" s="15" t="s">
        <v>197</v>
      </c>
      <c r="B68" s="16">
        <v>509.55000000000007</v>
      </c>
      <c r="M68" t="s">
        <v>56</v>
      </c>
      <c r="N68" s="4">
        <v>29.113428980622004</v>
      </c>
    </row>
    <row r="69" spans="1:14">
      <c r="A69" s="15" t="s">
        <v>156</v>
      </c>
      <c r="B69" s="16">
        <v>70</v>
      </c>
      <c r="M69" t="s">
        <v>55</v>
      </c>
      <c r="N69" s="4">
        <v>0.3376448707523565</v>
      </c>
    </row>
    <row r="70" spans="1:14">
      <c r="A70" s="15" t="s">
        <v>158</v>
      </c>
      <c r="B70" s="16">
        <v>911.25</v>
      </c>
      <c r="M70" t="s">
        <v>60</v>
      </c>
      <c r="N70" s="4">
        <v>0.84411217688089835</v>
      </c>
    </row>
    <row r="71" spans="1:14">
      <c r="A71" s="15" t="s">
        <v>159</v>
      </c>
      <c r="B71" s="16">
        <v>3198</v>
      </c>
      <c r="M71" t="s">
        <v>57</v>
      </c>
      <c r="N71" s="4">
        <v>8.2898850037844483</v>
      </c>
    </row>
    <row r="72" spans="1:14">
      <c r="A72" s="15" t="s">
        <v>160</v>
      </c>
      <c r="B72" s="16">
        <f>SUM(B63:B71)</f>
        <v>18811.05</v>
      </c>
      <c r="M72" t="s">
        <v>209</v>
      </c>
      <c r="N72" s="4">
        <v>0.92852339456898392</v>
      </c>
    </row>
    <row r="73" spans="1:14">
      <c r="A73" s="15" t="s">
        <v>161</v>
      </c>
      <c r="B73" s="16">
        <f>B65+B70+B69+B68+B67</f>
        <v>3858.55</v>
      </c>
      <c r="M73" t="s">
        <v>210</v>
      </c>
      <c r="N73" s="4">
        <v>0.42205608844044207</v>
      </c>
    </row>
    <row r="74" spans="1:14">
      <c r="M74" t="s">
        <v>202</v>
      </c>
      <c r="N74" s="4">
        <v>47.493268205389384</v>
      </c>
    </row>
    <row r="78" spans="1:14">
      <c r="A78" t="s">
        <v>213</v>
      </c>
      <c r="B78" t="s">
        <v>52</v>
      </c>
      <c r="C78" t="s">
        <v>214</v>
      </c>
    </row>
    <row r="79" spans="1:14">
      <c r="A79" t="s">
        <v>202</v>
      </c>
      <c r="B79">
        <f>B29</f>
        <v>18511.05</v>
      </c>
    </row>
    <row r="80" spans="1:14">
      <c r="A80" t="s">
        <v>215</v>
      </c>
      <c r="B80">
        <f>B43</f>
        <v>21767.05</v>
      </c>
      <c r="C80">
        <f>100-(($B$79/B80)*100)</f>
        <v>14.958388941082973</v>
      </c>
    </row>
    <row r="81" spans="1:3">
      <c r="A81" t="s">
        <v>216</v>
      </c>
      <c r="B81">
        <f>E43</f>
        <v>32114.05</v>
      </c>
      <c r="C81">
        <f t="shared" ref="C81:C86" si="12">100-(($B$79/B81)*100)</f>
        <v>42.358406990086891</v>
      </c>
    </row>
    <row r="82" spans="1:3">
      <c r="A82" t="s">
        <v>217</v>
      </c>
      <c r="B82">
        <f>H43</f>
        <v>21457.3</v>
      </c>
      <c r="C82">
        <f t="shared" si="12"/>
        <v>13.730758296710206</v>
      </c>
    </row>
    <row r="83" spans="1:3">
      <c r="A83" t="s">
        <v>218</v>
      </c>
      <c r="B83">
        <f>B57</f>
        <v>18541.05</v>
      </c>
      <c r="C83">
        <f t="shared" si="12"/>
        <v>0.16180313412669989</v>
      </c>
    </row>
    <row r="84" spans="1:3">
      <c r="A84" t="s">
        <v>219</v>
      </c>
      <c r="B84">
        <f>E57</f>
        <v>18661.05</v>
      </c>
      <c r="C84">
        <f t="shared" si="12"/>
        <v>0.80381329024893944</v>
      </c>
    </row>
    <row r="85" spans="1:3">
      <c r="A85" t="s">
        <v>220</v>
      </c>
      <c r="B85">
        <f>H57</f>
        <v>18691.05</v>
      </c>
      <c r="C85">
        <f t="shared" si="12"/>
        <v>0.96302775927516393</v>
      </c>
    </row>
    <row r="86" spans="1:3">
      <c r="A86" t="s">
        <v>221</v>
      </c>
      <c r="B86">
        <f>B72</f>
        <v>18811.05</v>
      </c>
      <c r="C86">
        <f t="shared" si="12"/>
        <v>1.5948073074070805</v>
      </c>
    </row>
    <row r="90" spans="1:3">
      <c r="A90" t="s">
        <v>213</v>
      </c>
      <c r="B90" t="s">
        <v>214</v>
      </c>
    </row>
    <row r="91" spans="1:3">
      <c r="A91" t="s">
        <v>202</v>
      </c>
    </row>
    <row r="92" spans="1:3">
      <c r="A92" t="s">
        <v>215</v>
      </c>
      <c r="B92">
        <v>15</v>
      </c>
    </row>
    <row r="93" spans="1:3">
      <c r="A93" t="s">
        <v>216</v>
      </c>
      <c r="B93">
        <v>42</v>
      </c>
    </row>
    <row r="94" spans="1:3">
      <c r="A94" t="s">
        <v>217</v>
      </c>
      <c r="B94">
        <v>14</v>
      </c>
    </row>
    <row r="95" spans="1:3">
      <c r="A95" t="s">
        <v>218</v>
      </c>
      <c r="B95">
        <v>0.2</v>
      </c>
    </row>
    <row r="96" spans="1:3">
      <c r="A96" t="s">
        <v>219</v>
      </c>
      <c r="B96">
        <v>0.8</v>
      </c>
    </row>
    <row r="97" spans="1:2">
      <c r="A97" t="s">
        <v>220</v>
      </c>
      <c r="B97">
        <v>1</v>
      </c>
    </row>
    <row r="98" spans="1:2">
      <c r="A98" t="s">
        <v>221</v>
      </c>
      <c r="B98">
        <v>2</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820B9-701E-4B9D-BFD2-F8D222FFFF26}">
  <dimension ref="A1:P15"/>
  <sheetViews>
    <sheetView workbookViewId="0">
      <selection activeCell="F1" sqref="F1:P15"/>
    </sheetView>
  </sheetViews>
  <sheetFormatPr defaultRowHeight="14.45"/>
  <cols>
    <col min="1" max="1" width="22.42578125" bestFit="1" customWidth="1"/>
  </cols>
  <sheetData>
    <row r="1" spans="1:16">
      <c r="F1" s="15" t="s">
        <v>162</v>
      </c>
      <c r="G1" s="15" t="s">
        <v>163</v>
      </c>
      <c r="H1" s="15" t="s">
        <v>165</v>
      </c>
      <c r="I1" s="15" t="s">
        <v>166</v>
      </c>
      <c r="J1" s="15" t="s">
        <v>167</v>
      </c>
      <c r="K1" s="15" t="s">
        <v>168</v>
      </c>
      <c r="L1" s="15" t="s">
        <v>169</v>
      </c>
      <c r="M1" s="15" t="s">
        <v>112</v>
      </c>
      <c r="N1" s="15" t="s">
        <v>97</v>
      </c>
      <c r="O1" s="15" t="s">
        <v>108</v>
      </c>
      <c r="P1" s="15" t="s">
        <v>159</v>
      </c>
    </row>
    <row r="2" spans="1:16">
      <c r="A2" t="s">
        <v>222</v>
      </c>
      <c r="F2" s="15" t="s">
        <v>173</v>
      </c>
      <c r="G2" s="16">
        <v>180</v>
      </c>
      <c r="H2" s="16">
        <v>6</v>
      </c>
      <c r="I2" s="16">
        <v>0</v>
      </c>
      <c r="J2" s="16">
        <f>H2+I2</f>
        <v>6</v>
      </c>
      <c r="K2" s="16">
        <f>(1.5/2)*3</f>
        <v>2.25</v>
      </c>
      <c r="L2" s="16">
        <v>0</v>
      </c>
      <c r="M2" s="16">
        <v>3</v>
      </c>
      <c r="N2" s="16">
        <v>0</v>
      </c>
      <c r="O2" s="16">
        <v>0</v>
      </c>
      <c r="P2" s="16">
        <v>0</v>
      </c>
    </row>
    <row r="3" spans="1:16">
      <c r="A3" t="s">
        <v>223</v>
      </c>
      <c r="F3" s="15" t="s">
        <v>175</v>
      </c>
      <c r="G3" s="16">
        <v>180</v>
      </c>
      <c r="H3" s="16">
        <v>6</v>
      </c>
      <c r="I3" s="16">
        <v>8</v>
      </c>
      <c r="J3" s="16">
        <f>H3+I3</f>
        <v>14</v>
      </c>
      <c r="K3" s="16">
        <f t="shared" ref="K3:K12" si="0">(1.5/2)*3</f>
        <v>2.25</v>
      </c>
      <c r="L3" s="16">
        <v>0</v>
      </c>
      <c r="M3" s="16">
        <v>3</v>
      </c>
      <c r="N3" s="16">
        <v>0</v>
      </c>
      <c r="O3" s="16">
        <v>0</v>
      </c>
      <c r="P3" s="16">
        <v>0</v>
      </c>
    </row>
    <row r="4" spans="1:16">
      <c r="A4" t="s">
        <v>224</v>
      </c>
      <c r="F4" s="15" t="s">
        <v>177</v>
      </c>
      <c r="G4" s="16">
        <v>150</v>
      </c>
      <c r="H4" s="16">
        <v>6</v>
      </c>
      <c r="I4" s="16">
        <v>0</v>
      </c>
      <c r="J4" s="16">
        <f t="shared" ref="J4:J15" si="1">H4+I4</f>
        <v>6</v>
      </c>
      <c r="K4" s="16">
        <f t="shared" si="0"/>
        <v>2.25</v>
      </c>
      <c r="L4" s="16">
        <v>0</v>
      </c>
      <c r="M4" s="16">
        <v>3</v>
      </c>
      <c r="N4" s="16">
        <v>0</v>
      </c>
      <c r="O4" s="16">
        <v>0</v>
      </c>
      <c r="P4" s="16">
        <v>0</v>
      </c>
    </row>
    <row r="5" spans="1:16">
      <c r="A5" t="s">
        <v>182</v>
      </c>
      <c r="F5" s="15" t="s">
        <v>179</v>
      </c>
      <c r="G5" s="16">
        <v>150</v>
      </c>
      <c r="H5" s="16">
        <v>6</v>
      </c>
      <c r="I5" s="16">
        <v>8</v>
      </c>
      <c r="J5" s="16">
        <f t="shared" si="1"/>
        <v>14</v>
      </c>
      <c r="K5" s="16">
        <f t="shared" si="0"/>
        <v>2.25</v>
      </c>
      <c r="L5" s="16">
        <v>0</v>
      </c>
      <c r="M5" s="16">
        <v>3</v>
      </c>
      <c r="N5" s="16">
        <v>0</v>
      </c>
      <c r="O5" s="16">
        <v>0</v>
      </c>
      <c r="P5" s="16">
        <v>0</v>
      </c>
    </row>
    <row r="6" spans="1:16">
      <c r="A6" t="s">
        <v>188</v>
      </c>
      <c r="F6" s="15" t="s">
        <v>181</v>
      </c>
      <c r="G6" s="16">
        <v>50</v>
      </c>
      <c r="H6" s="16">
        <v>0</v>
      </c>
      <c r="I6" s="16">
        <v>0</v>
      </c>
      <c r="J6" s="16">
        <f t="shared" si="1"/>
        <v>0</v>
      </c>
      <c r="K6" s="16">
        <f>(1.5/2)*2</f>
        <v>1.5</v>
      </c>
      <c r="L6" s="16">
        <v>0</v>
      </c>
      <c r="M6" s="16">
        <v>3</v>
      </c>
      <c r="N6" s="16">
        <v>0</v>
      </c>
      <c r="O6" s="16">
        <v>0</v>
      </c>
      <c r="P6" s="16">
        <v>0</v>
      </c>
    </row>
    <row r="7" spans="1:16">
      <c r="F7" s="15" t="s">
        <v>182</v>
      </c>
      <c r="G7" s="16">
        <v>50</v>
      </c>
      <c r="H7" s="16">
        <v>0</v>
      </c>
      <c r="I7" s="16">
        <v>8</v>
      </c>
      <c r="J7" s="16">
        <f t="shared" si="1"/>
        <v>8</v>
      </c>
      <c r="K7" s="16">
        <f>(1.5/2)*2</f>
        <v>1.5</v>
      </c>
      <c r="L7" s="16">
        <v>0</v>
      </c>
      <c r="M7" s="16">
        <v>3</v>
      </c>
      <c r="N7" s="16">
        <v>0</v>
      </c>
      <c r="O7" s="16">
        <v>0</v>
      </c>
      <c r="P7" s="16">
        <v>0</v>
      </c>
    </row>
    <row r="8" spans="1:16">
      <c r="F8" s="15" t="s">
        <v>183</v>
      </c>
      <c r="G8" s="16">
        <v>10</v>
      </c>
      <c r="H8" s="16">
        <v>0</v>
      </c>
      <c r="I8" s="16">
        <v>0</v>
      </c>
      <c r="J8" s="16">
        <f t="shared" si="1"/>
        <v>0</v>
      </c>
      <c r="K8" s="16">
        <v>0</v>
      </c>
      <c r="L8" s="16">
        <v>0</v>
      </c>
      <c r="M8" s="16">
        <v>0</v>
      </c>
      <c r="N8" s="16">
        <f>6*5</f>
        <v>30</v>
      </c>
      <c r="O8" s="16">
        <v>0</v>
      </c>
      <c r="P8" s="16">
        <v>0</v>
      </c>
    </row>
    <row r="9" spans="1:16">
      <c r="F9" s="15" t="s">
        <v>184</v>
      </c>
      <c r="G9" s="16">
        <v>22</v>
      </c>
      <c r="H9" s="16">
        <v>6</v>
      </c>
      <c r="I9" s="16">
        <v>0</v>
      </c>
      <c r="J9" s="16">
        <f t="shared" si="1"/>
        <v>6</v>
      </c>
      <c r="K9" s="16">
        <f t="shared" si="0"/>
        <v>2.25</v>
      </c>
      <c r="L9" s="16">
        <f>8.3*2</f>
        <v>16.600000000000001</v>
      </c>
      <c r="M9" s="16">
        <v>3</v>
      </c>
      <c r="N9" s="16">
        <v>0</v>
      </c>
      <c r="O9" s="16">
        <v>0</v>
      </c>
      <c r="P9" s="16">
        <v>0</v>
      </c>
    </row>
    <row r="10" spans="1:16">
      <c r="F10" s="15" t="s">
        <v>185</v>
      </c>
      <c r="G10" s="16">
        <v>22</v>
      </c>
      <c r="H10" s="16">
        <v>6</v>
      </c>
      <c r="I10" s="16">
        <v>8</v>
      </c>
      <c r="J10" s="16">
        <f t="shared" si="1"/>
        <v>14</v>
      </c>
      <c r="K10" s="16">
        <f t="shared" si="0"/>
        <v>2.25</v>
      </c>
      <c r="L10" s="16">
        <f>8.3*2</f>
        <v>16.600000000000001</v>
      </c>
      <c r="M10" s="16">
        <v>3</v>
      </c>
      <c r="N10" s="16">
        <v>0</v>
      </c>
      <c r="O10" s="16">
        <v>0</v>
      </c>
      <c r="P10" s="16">
        <v>0</v>
      </c>
    </row>
    <row r="11" spans="1:16">
      <c r="F11" s="15" t="s">
        <v>186</v>
      </c>
      <c r="G11" s="16">
        <v>5</v>
      </c>
      <c r="H11" s="16">
        <v>6</v>
      </c>
      <c r="I11" s="16">
        <v>0</v>
      </c>
      <c r="J11" s="16">
        <f t="shared" si="1"/>
        <v>6</v>
      </c>
      <c r="K11" s="16">
        <f t="shared" si="0"/>
        <v>2.25</v>
      </c>
      <c r="L11" s="16">
        <v>8.3000000000000007</v>
      </c>
      <c r="M11" s="16">
        <v>3</v>
      </c>
      <c r="N11" s="16">
        <v>0</v>
      </c>
      <c r="O11" s="16">
        <v>0</v>
      </c>
      <c r="P11" s="16">
        <v>0</v>
      </c>
    </row>
    <row r="12" spans="1:16">
      <c r="F12" s="15" t="s">
        <v>93</v>
      </c>
      <c r="G12" s="16">
        <v>5</v>
      </c>
      <c r="H12" s="16">
        <v>6</v>
      </c>
      <c r="I12" s="16">
        <v>8</v>
      </c>
      <c r="J12" s="16">
        <f t="shared" si="1"/>
        <v>14</v>
      </c>
      <c r="K12" s="16">
        <f t="shared" si="0"/>
        <v>2.25</v>
      </c>
      <c r="L12" s="16">
        <v>8.3000000000000007</v>
      </c>
      <c r="M12" s="16">
        <v>3</v>
      </c>
      <c r="N12" s="16">
        <v>0</v>
      </c>
      <c r="O12" s="16">
        <v>0</v>
      </c>
      <c r="P12" s="16">
        <v>0</v>
      </c>
    </row>
    <row r="13" spans="1:16">
      <c r="F13" s="15" t="s">
        <v>187</v>
      </c>
      <c r="G13" s="16">
        <v>5</v>
      </c>
      <c r="H13" s="16">
        <v>6</v>
      </c>
      <c r="I13" s="16">
        <v>8</v>
      </c>
      <c r="J13" s="16">
        <f t="shared" si="1"/>
        <v>14</v>
      </c>
      <c r="K13" s="16">
        <v>2.25</v>
      </c>
      <c r="L13" s="16">
        <v>0</v>
      </c>
      <c r="M13" s="16">
        <v>3</v>
      </c>
      <c r="N13" s="16">
        <v>0</v>
      </c>
      <c r="O13" s="16">
        <v>0</v>
      </c>
      <c r="P13" s="16">
        <f>'Generalised usage'!P1*'Generalised usage'!P5</f>
        <v>0</v>
      </c>
    </row>
    <row r="14" spans="1:16">
      <c r="F14" s="15" t="s">
        <v>172</v>
      </c>
      <c r="G14" s="16">
        <v>125</v>
      </c>
      <c r="H14" s="16"/>
      <c r="I14" s="16"/>
      <c r="J14" s="16"/>
      <c r="K14" s="16"/>
      <c r="L14" s="16"/>
      <c r="M14" s="16"/>
      <c r="N14" s="16"/>
      <c r="O14" s="16"/>
      <c r="P14" s="16"/>
    </row>
    <row r="15" spans="1:16">
      <c r="F15" s="15" t="s">
        <v>188</v>
      </c>
      <c r="G15" s="16">
        <v>75</v>
      </c>
      <c r="H15" s="16">
        <v>0</v>
      </c>
      <c r="I15" s="16">
        <v>0</v>
      </c>
      <c r="J15" s="16">
        <f t="shared" si="1"/>
        <v>0</v>
      </c>
      <c r="K15" s="16">
        <v>0</v>
      </c>
      <c r="L15" s="16">
        <f>8.3/2</f>
        <v>4.1500000000000004</v>
      </c>
      <c r="M15" s="16">
        <v>3</v>
      </c>
      <c r="N15" s="16">
        <v>0</v>
      </c>
      <c r="O15" s="16">
        <f>10*(G15/2)</f>
        <v>375</v>
      </c>
      <c r="P15" s="16">
        <v>0</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9B79-2A30-4CEB-AFEF-D8CC76095E43}">
  <dimension ref="A1:C25"/>
  <sheetViews>
    <sheetView topLeftCell="A2" zoomScale="90" zoomScaleNormal="90" workbookViewId="0">
      <selection activeCell="F9" sqref="F9"/>
    </sheetView>
  </sheetViews>
  <sheetFormatPr defaultRowHeight="14.45"/>
  <cols>
    <col min="2" max="2" width="10.42578125" bestFit="1" customWidth="1"/>
  </cols>
  <sheetData>
    <row r="1" spans="1:3">
      <c r="A1" cm="1">
        <f t="array" aca="1" ref="A1" ca="1">+C1+A1:C21+A+A1:C22</f>
        <v>0</v>
      </c>
      <c r="B1" t="s">
        <v>225</v>
      </c>
    </row>
    <row r="2" spans="1:3">
      <c r="A2">
        <v>1</v>
      </c>
      <c r="B2">
        <v>0</v>
      </c>
      <c r="C2">
        <v>0</v>
      </c>
    </row>
    <row r="3" spans="1:3">
      <c r="A3">
        <v>2</v>
      </c>
      <c r="B3">
        <v>0</v>
      </c>
      <c r="C3">
        <v>0</v>
      </c>
    </row>
    <row r="4" spans="1:3">
      <c r="A4">
        <v>3</v>
      </c>
      <c r="B4">
        <v>0</v>
      </c>
      <c r="C4">
        <v>0</v>
      </c>
    </row>
    <row r="5" spans="1:3">
      <c r="A5">
        <v>4</v>
      </c>
      <c r="B5">
        <v>0</v>
      </c>
      <c r="C5">
        <v>0</v>
      </c>
    </row>
    <row r="6" spans="1:3">
      <c r="A6">
        <v>5</v>
      </c>
      <c r="B6">
        <v>0</v>
      </c>
      <c r="C6">
        <v>0</v>
      </c>
    </row>
    <row r="7" spans="1:3">
      <c r="A7">
        <v>6</v>
      </c>
      <c r="B7">
        <v>5</v>
      </c>
      <c r="C7">
        <f>B7</f>
        <v>5</v>
      </c>
    </row>
    <row r="8" spans="1:3">
      <c r="A8">
        <v>7</v>
      </c>
      <c r="B8">
        <v>10</v>
      </c>
      <c r="C8">
        <f t="shared" ref="C8:C25" si="0">B8</f>
        <v>10</v>
      </c>
    </row>
    <row r="9" spans="1:3">
      <c r="A9">
        <v>8</v>
      </c>
      <c r="B9">
        <v>50</v>
      </c>
      <c r="C9">
        <f t="shared" si="0"/>
        <v>50</v>
      </c>
    </row>
    <row r="10" spans="1:3">
      <c r="A10">
        <v>9</v>
      </c>
      <c r="B10">
        <v>70</v>
      </c>
      <c r="C10">
        <f t="shared" si="0"/>
        <v>70</v>
      </c>
    </row>
    <row r="11" spans="1:3">
      <c r="A11">
        <v>10</v>
      </c>
      <c r="B11">
        <v>80</v>
      </c>
      <c r="C11">
        <v>95</v>
      </c>
    </row>
    <row r="12" spans="1:3">
      <c r="A12">
        <v>11</v>
      </c>
      <c r="B12">
        <v>80</v>
      </c>
      <c r="C12">
        <v>95</v>
      </c>
    </row>
    <row r="13" spans="1:3">
      <c r="A13">
        <v>12</v>
      </c>
      <c r="B13">
        <v>80</v>
      </c>
      <c r="C13">
        <v>95</v>
      </c>
    </row>
    <row r="14" spans="1:3">
      <c r="A14">
        <v>13</v>
      </c>
      <c r="B14">
        <v>80</v>
      </c>
      <c r="C14">
        <v>95</v>
      </c>
    </row>
    <row r="15" spans="1:3">
      <c r="A15">
        <v>14</v>
      </c>
      <c r="B15">
        <v>80</v>
      </c>
      <c r="C15">
        <v>95</v>
      </c>
    </row>
    <row r="16" spans="1:3">
      <c r="A16">
        <v>15</v>
      </c>
      <c r="B16">
        <v>80</v>
      </c>
      <c r="C16">
        <v>95</v>
      </c>
    </row>
    <row r="17" spans="1:3">
      <c r="A17">
        <v>16</v>
      </c>
      <c r="B17">
        <v>80</v>
      </c>
      <c r="C17">
        <v>95</v>
      </c>
    </row>
    <row r="18" spans="1:3">
      <c r="A18">
        <v>17</v>
      </c>
      <c r="B18">
        <v>80</v>
      </c>
      <c r="C18">
        <v>95</v>
      </c>
    </row>
    <row r="19" spans="1:3">
      <c r="A19">
        <v>18</v>
      </c>
      <c r="B19">
        <v>60</v>
      </c>
      <c r="C19">
        <f t="shared" si="0"/>
        <v>60</v>
      </c>
    </row>
    <row r="20" spans="1:3">
      <c r="A20">
        <v>19</v>
      </c>
      <c r="B20">
        <v>10</v>
      </c>
      <c r="C20">
        <f t="shared" si="0"/>
        <v>10</v>
      </c>
    </row>
    <row r="21" spans="1:3">
      <c r="A21">
        <v>20</v>
      </c>
      <c r="B21">
        <v>5</v>
      </c>
      <c r="C21">
        <f t="shared" si="0"/>
        <v>5</v>
      </c>
    </row>
    <row r="22" spans="1:3">
      <c r="A22">
        <v>21</v>
      </c>
      <c r="B22">
        <v>0</v>
      </c>
      <c r="C22">
        <f t="shared" si="0"/>
        <v>0</v>
      </c>
    </row>
    <row r="23" spans="1:3">
      <c r="A23">
        <v>22</v>
      </c>
      <c r="B23">
        <v>0</v>
      </c>
      <c r="C23">
        <f t="shared" si="0"/>
        <v>0</v>
      </c>
    </row>
    <row r="24" spans="1:3">
      <c r="A24">
        <v>23</v>
      </c>
      <c r="B24">
        <v>0</v>
      </c>
      <c r="C24">
        <f t="shared" si="0"/>
        <v>0</v>
      </c>
    </row>
    <row r="25" spans="1:3">
      <c r="A25">
        <v>24</v>
      </c>
      <c r="B25">
        <v>0</v>
      </c>
      <c r="C25">
        <f t="shared" si="0"/>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D8FE4-37A2-47FB-B562-9C3E0CC09B0C}">
  <dimension ref="A1:E8"/>
  <sheetViews>
    <sheetView zoomScale="80" zoomScaleNormal="80" workbookViewId="0">
      <selection activeCell="K12" sqref="K12"/>
    </sheetView>
  </sheetViews>
  <sheetFormatPr defaultRowHeight="14.45"/>
  <cols>
    <col min="1" max="1" width="16.42578125" bestFit="1" customWidth="1"/>
    <col min="2" max="2" width="16.42578125" customWidth="1"/>
    <col min="4" max="4" width="10.5703125" bestFit="1" customWidth="1"/>
    <col min="5" max="5" width="30.85546875" bestFit="1" customWidth="1"/>
  </cols>
  <sheetData>
    <row r="1" spans="1:5">
      <c r="B1" t="s">
        <v>206</v>
      </c>
      <c r="C1" t="s">
        <v>54</v>
      </c>
      <c r="D1" t="s">
        <v>226</v>
      </c>
      <c r="E1" t="s">
        <v>227</v>
      </c>
    </row>
    <row r="2" spans="1:5">
      <c r="A2" t="s">
        <v>228</v>
      </c>
      <c r="C2">
        <f>'Neat copy'!E35</f>
        <v>21213</v>
      </c>
      <c r="D2">
        <f>'Neat copy'!B21</f>
        <v>7610</v>
      </c>
      <c r="E2" s="3">
        <f>100-((D2/C2)*100)</f>
        <v>64.125771932305668</v>
      </c>
    </row>
    <row r="3" spans="1:5">
      <c r="A3" t="s">
        <v>196</v>
      </c>
      <c r="C3">
        <f>'Neat copy'!H36</f>
        <v>4714</v>
      </c>
      <c r="D3">
        <f>'Neat copy'!B22</f>
        <v>1767.75</v>
      </c>
      <c r="E3" s="3">
        <f t="shared" ref="E3:E8" si="0">100-((D3/C3)*100)</f>
        <v>62.5</v>
      </c>
    </row>
    <row r="4" spans="1:5">
      <c r="A4" t="s">
        <v>229</v>
      </c>
      <c r="C4">
        <f>'Neat copy'!B54</f>
        <v>100</v>
      </c>
      <c r="D4">
        <f>'Neat copy'!B40</f>
        <v>70</v>
      </c>
      <c r="E4" s="3">
        <f t="shared" si="0"/>
        <v>30</v>
      </c>
    </row>
    <row r="5" spans="1:5">
      <c r="A5" t="s">
        <v>188</v>
      </c>
      <c r="C5">
        <f>'Neat copy'!N43</f>
        <v>1061.25</v>
      </c>
      <c r="D5">
        <f>'Neat copy'!H41</f>
        <v>911.25</v>
      </c>
      <c r="E5" s="3">
        <f t="shared" si="0"/>
        <v>14.134275618374559</v>
      </c>
    </row>
    <row r="6" spans="1:5">
      <c r="A6" t="s">
        <v>155</v>
      </c>
      <c r="C6">
        <f>'Neat copy'!B67</f>
        <v>600</v>
      </c>
      <c r="D6">
        <f>'Neat copy'!B24</f>
        <v>300</v>
      </c>
      <c r="E6" s="3">
        <f t="shared" si="0"/>
        <v>50</v>
      </c>
    </row>
    <row r="7" spans="1:5">
      <c r="A7" t="s">
        <v>172</v>
      </c>
      <c r="C7">
        <f>D7+(D7*0.3)</f>
        <v>2193.75</v>
      </c>
      <c r="D7">
        <f>'Neat copy'!B20</f>
        <v>1687.5</v>
      </c>
      <c r="E7" s="3">
        <f t="shared" si="0"/>
        <v>23.076923076923066</v>
      </c>
    </row>
    <row r="8" spans="1:5">
      <c r="A8" t="s">
        <v>160</v>
      </c>
      <c r="C8">
        <f>'Neat copy'!N45</f>
        <v>35540.300000000003</v>
      </c>
      <c r="D8">
        <f>'Neat copy'!B29</f>
        <v>18511.05</v>
      </c>
      <c r="E8" s="3">
        <f t="shared" si="0"/>
        <v>47.915324293829833</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4C1AF-0D38-4681-AB04-CE32C7A9E693}">
  <dimension ref="A1:E32"/>
  <sheetViews>
    <sheetView zoomScale="64" workbookViewId="0">
      <selection activeCell="C8" sqref="C8"/>
    </sheetView>
  </sheetViews>
  <sheetFormatPr defaultRowHeight="14.45"/>
  <cols>
    <col min="1" max="1" width="13.85546875" bestFit="1" customWidth="1"/>
    <col min="2" max="2" width="17.5703125" bestFit="1" customWidth="1"/>
    <col min="3" max="3" width="26.7109375" bestFit="1" customWidth="1"/>
    <col min="4" max="4" width="16.28515625" bestFit="1" customWidth="1"/>
  </cols>
  <sheetData>
    <row r="1" spans="1:5">
      <c r="A1" s="58" t="s">
        <v>230</v>
      </c>
      <c r="B1" t="s">
        <v>231</v>
      </c>
      <c r="C1" t="s">
        <v>232</v>
      </c>
      <c r="D1" t="s">
        <v>233</v>
      </c>
    </row>
    <row r="2" spans="1:5">
      <c r="A2" s="58">
        <v>1</v>
      </c>
      <c r="B2">
        <f>C2</f>
        <v>0</v>
      </c>
      <c r="C2">
        <v>0</v>
      </c>
      <c r="D2">
        <f>D25+846</f>
        <v>4230</v>
      </c>
    </row>
    <row r="3" spans="1:5">
      <c r="A3" s="58">
        <v>1.0416666666666667</v>
      </c>
      <c r="B3">
        <f t="shared" ref="B3:B6" si="0">C3</f>
        <v>0</v>
      </c>
      <c r="C3">
        <v>0</v>
      </c>
      <c r="D3">
        <f>D2+846</f>
        <v>5076</v>
      </c>
    </row>
    <row r="4" spans="1:5">
      <c r="A4" s="58">
        <v>1.0833333333333299</v>
      </c>
      <c r="B4">
        <f t="shared" si="0"/>
        <v>0</v>
      </c>
      <c r="C4">
        <v>0</v>
      </c>
      <c r="D4">
        <f t="shared" ref="D4:D5" si="1">D3+846</f>
        <v>5922</v>
      </c>
    </row>
    <row r="5" spans="1:5">
      <c r="A5" s="58">
        <v>1.125</v>
      </c>
      <c r="B5">
        <f t="shared" si="0"/>
        <v>0</v>
      </c>
      <c r="C5">
        <v>0</v>
      </c>
      <c r="D5">
        <f t="shared" si="1"/>
        <v>6768</v>
      </c>
    </row>
    <row r="6" spans="1:5">
      <c r="A6" s="58">
        <v>1.1666666666666701</v>
      </c>
      <c r="B6">
        <f t="shared" si="0"/>
        <v>0</v>
      </c>
      <c r="C6">
        <v>0</v>
      </c>
      <c r="D6">
        <f>D5+842</f>
        <v>7610</v>
      </c>
    </row>
    <row r="7" spans="1:5">
      <c r="A7" s="58">
        <v>1.2083333333333299</v>
      </c>
      <c r="B7">
        <f>'Neat copy'!$B$29*0.02</f>
        <v>370.221</v>
      </c>
      <c r="C7">
        <f>'Neat copy'!$B$21*0.02</f>
        <v>152.20000000000002</v>
      </c>
      <c r="D7">
        <v>7610</v>
      </c>
      <c r="E7">
        <f>1</f>
        <v>1</v>
      </c>
    </row>
    <row r="8" spans="1:5">
      <c r="A8" s="58">
        <v>1.25</v>
      </c>
      <c r="B8">
        <f>'Neat copy'!$B$29*0.04</f>
        <v>740.44200000000001</v>
      </c>
      <c r="C8">
        <f>'Neat copy'!$B$21*0.04</f>
        <v>304.40000000000003</v>
      </c>
      <c r="D8">
        <f>D7-C7</f>
        <v>7457.8</v>
      </c>
      <c r="E8">
        <f>E7+1</f>
        <v>2</v>
      </c>
    </row>
    <row r="9" spans="1:5">
      <c r="A9" s="58">
        <v>1.2916666666666701</v>
      </c>
      <c r="B9">
        <f>'Neat copy'!$B$29*0.06</f>
        <v>1110.663</v>
      </c>
      <c r="C9">
        <f>'Neat copy'!$B$21*0.06</f>
        <v>456.59999999999997</v>
      </c>
      <c r="D9">
        <f t="shared" ref="D9:D20" si="2">D8-C8</f>
        <v>7153.4000000000005</v>
      </c>
      <c r="E9">
        <f t="shared" ref="E9:E25" si="3">E8+1</f>
        <v>3</v>
      </c>
    </row>
    <row r="10" spans="1:5">
      <c r="A10" s="58">
        <v>1.3333333333333299</v>
      </c>
      <c r="B10">
        <f>'Neat copy'!$B$29*0.09</f>
        <v>1665.9944999999998</v>
      </c>
      <c r="C10">
        <f>'Neat copy'!$B$21*0.09</f>
        <v>684.9</v>
      </c>
      <c r="D10">
        <f t="shared" si="2"/>
        <v>6696.8</v>
      </c>
      <c r="E10">
        <f t="shared" si="3"/>
        <v>4</v>
      </c>
    </row>
    <row r="11" spans="1:5">
      <c r="A11" s="58">
        <v>1.375</v>
      </c>
      <c r="B11">
        <f>'Neat copy'!$B$29*0.12</f>
        <v>2221.326</v>
      </c>
      <c r="C11">
        <f>'Neat copy'!$B$21*0.12</f>
        <v>913.19999999999993</v>
      </c>
      <c r="D11">
        <f t="shared" si="2"/>
        <v>6011.9000000000005</v>
      </c>
      <c r="E11">
        <f t="shared" si="3"/>
        <v>5</v>
      </c>
    </row>
    <row r="12" spans="1:5">
      <c r="A12" s="58">
        <v>1.4166666666666701</v>
      </c>
      <c r="B12">
        <f>'Neat copy'!$B$29*0.07</f>
        <v>1295.7735</v>
      </c>
      <c r="C12">
        <f>'Neat copy'!$B$21*0.07</f>
        <v>532.70000000000005</v>
      </c>
      <c r="D12">
        <f t="shared" si="2"/>
        <v>5098.7000000000007</v>
      </c>
      <c r="E12">
        <f t="shared" si="3"/>
        <v>6</v>
      </c>
    </row>
    <row r="13" spans="1:5">
      <c r="A13" s="58">
        <v>1.4583333333333299</v>
      </c>
      <c r="B13">
        <f>'Neat copy'!$B$29*0.1</f>
        <v>1851.105</v>
      </c>
      <c r="C13">
        <f>'Neat copy'!$B$21*0.1</f>
        <v>761</v>
      </c>
      <c r="D13">
        <f t="shared" si="2"/>
        <v>4566.0000000000009</v>
      </c>
      <c r="E13">
        <f t="shared" si="3"/>
        <v>7</v>
      </c>
    </row>
    <row r="14" spans="1:5">
      <c r="A14" s="58">
        <v>1.5</v>
      </c>
      <c r="B14">
        <f>'Neat copy'!$B$29*0.13</f>
        <v>2406.4364999999998</v>
      </c>
      <c r="C14">
        <f>'Neat copy'!$B$21*0.13</f>
        <v>989.30000000000007</v>
      </c>
      <c r="D14">
        <f t="shared" si="2"/>
        <v>3805.0000000000009</v>
      </c>
      <c r="E14">
        <f t="shared" si="3"/>
        <v>8</v>
      </c>
    </row>
    <row r="15" spans="1:5">
      <c r="A15" s="58">
        <v>1.5416666666666701</v>
      </c>
      <c r="B15">
        <f>'Neat copy'!$B$29*0.1</f>
        <v>1851.105</v>
      </c>
      <c r="C15">
        <f>'Neat copy'!$B$21*0.1</f>
        <v>761</v>
      </c>
      <c r="D15">
        <f t="shared" si="2"/>
        <v>2815.7000000000007</v>
      </c>
      <c r="E15">
        <f t="shared" si="3"/>
        <v>9</v>
      </c>
    </row>
    <row r="16" spans="1:5">
      <c r="A16" s="58">
        <v>1.5833333333333299</v>
      </c>
      <c r="B16">
        <f>'Neat copy'!$B$29*0.06</f>
        <v>1110.663</v>
      </c>
      <c r="C16">
        <f>'Neat copy'!$B$21*0.06</f>
        <v>456.59999999999997</v>
      </c>
      <c r="D16">
        <f t="shared" si="2"/>
        <v>2054.7000000000007</v>
      </c>
      <c r="E16">
        <f t="shared" si="3"/>
        <v>10</v>
      </c>
    </row>
    <row r="17" spans="1:5">
      <c r="A17" s="58">
        <v>1.625</v>
      </c>
      <c r="B17">
        <f>'Neat copy'!$B$29*0.07</f>
        <v>1295.7735</v>
      </c>
      <c r="C17">
        <f>'Neat copy'!$B$21*0.07</f>
        <v>532.70000000000005</v>
      </c>
      <c r="D17">
        <f t="shared" si="2"/>
        <v>1598.1000000000008</v>
      </c>
      <c r="E17">
        <f t="shared" si="3"/>
        <v>11</v>
      </c>
    </row>
    <row r="18" spans="1:5">
      <c r="A18" s="58">
        <v>1.6666666666666701</v>
      </c>
      <c r="B18">
        <f>'Neat copy'!$B$29*0.08</f>
        <v>1480.884</v>
      </c>
      <c r="C18">
        <f>'Neat copy'!$B$21*0.08</f>
        <v>608.80000000000007</v>
      </c>
      <c r="D18">
        <f t="shared" si="2"/>
        <v>1065.4000000000008</v>
      </c>
      <c r="E18">
        <f t="shared" si="3"/>
        <v>12</v>
      </c>
    </row>
    <row r="19" spans="1:5">
      <c r="A19" s="58">
        <v>1.7083333333333299</v>
      </c>
      <c r="B19">
        <f>'Neat copy'!$B$29*0.04</f>
        <v>740.44200000000001</v>
      </c>
      <c r="C19">
        <f>'Neat copy'!$B$21*0.04</f>
        <v>304.40000000000003</v>
      </c>
      <c r="D19">
        <f t="shared" si="2"/>
        <v>456.6000000000007</v>
      </c>
      <c r="E19">
        <f t="shared" si="3"/>
        <v>13</v>
      </c>
    </row>
    <row r="20" spans="1:5">
      <c r="A20" s="58">
        <v>1.75</v>
      </c>
      <c r="B20">
        <f>'Neat copy'!$B$29*0.02</f>
        <v>370.221</v>
      </c>
      <c r="C20">
        <f>'Neat copy'!$B$21*0.02</f>
        <v>152.20000000000002</v>
      </c>
      <c r="D20">
        <f t="shared" si="2"/>
        <v>152.20000000000067</v>
      </c>
      <c r="E20">
        <f t="shared" si="3"/>
        <v>14</v>
      </c>
    </row>
    <row r="21" spans="1:5">
      <c r="A21" s="58">
        <v>1.7916666666666701</v>
      </c>
      <c r="B21">
        <f>0</f>
        <v>0</v>
      </c>
      <c r="C21">
        <v>0</v>
      </c>
      <c r="D21">
        <v>0</v>
      </c>
      <c r="E21">
        <f t="shared" si="3"/>
        <v>15</v>
      </c>
    </row>
    <row r="22" spans="1:5">
      <c r="A22" s="58">
        <v>1.8333333333333299</v>
      </c>
      <c r="B22">
        <f>0</f>
        <v>0</v>
      </c>
      <c r="C22">
        <v>0</v>
      </c>
      <c r="D22">
        <v>846</v>
      </c>
      <c r="E22">
        <f t="shared" si="3"/>
        <v>16</v>
      </c>
    </row>
    <row r="23" spans="1:5">
      <c r="A23" s="58">
        <v>1.875</v>
      </c>
      <c r="B23">
        <f>0</f>
        <v>0</v>
      </c>
      <c r="C23">
        <v>0</v>
      </c>
      <c r="D23">
        <f>D22+846</f>
        <v>1692</v>
      </c>
      <c r="E23">
        <f t="shared" si="3"/>
        <v>17</v>
      </c>
    </row>
    <row r="24" spans="1:5">
      <c r="A24" s="58">
        <v>1.9166666666666701</v>
      </c>
      <c r="B24">
        <f>0</f>
        <v>0</v>
      </c>
      <c r="C24">
        <v>0</v>
      </c>
      <c r="D24">
        <f t="shared" ref="D24:D25" si="4">D23+846</f>
        <v>2538</v>
      </c>
      <c r="E24">
        <f t="shared" si="3"/>
        <v>18</v>
      </c>
    </row>
    <row r="25" spans="1:5">
      <c r="A25" s="58">
        <v>1.9583333333333299</v>
      </c>
      <c r="B25">
        <f>0</f>
        <v>0</v>
      </c>
      <c r="C25">
        <v>0</v>
      </c>
      <c r="D25">
        <f t="shared" si="4"/>
        <v>3384</v>
      </c>
      <c r="E25">
        <f t="shared" si="3"/>
        <v>19</v>
      </c>
    </row>
    <row r="32" spans="1:5">
      <c r="D32">
        <f>SUM(C7:C20)</f>
        <v>7610</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A1ADE-48DE-4D4C-8FA5-F668A1023CBC}">
  <dimension ref="A1:N35"/>
  <sheetViews>
    <sheetView zoomScale="75" zoomScaleNormal="130" workbookViewId="0">
      <selection activeCell="N19" sqref="N19"/>
    </sheetView>
  </sheetViews>
  <sheetFormatPr defaultRowHeight="14.45"/>
  <sheetData>
    <row r="1" spans="1:14" ht="144.94999999999999">
      <c r="A1" s="17"/>
      <c r="B1" s="18" t="s">
        <v>234</v>
      </c>
      <c r="C1" s="19" t="s">
        <v>235</v>
      </c>
      <c r="D1" s="20"/>
      <c r="E1" s="20"/>
      <c r="F1" s="19" t="s">
        <v>236</v>
      </c>
      <c r="G1" s="17"/>
      <c r="H1" s="17"/>
      <c r="I1" s="17"/>
      <c r="J1" s="21"/>
      <c r="K1" s="17"/>
      <c r="L1" s="17"/>
    </row>
    <row r="2" spans="1:14" ht="87">
      <c r="A2" s="22" t="s">
        <v>237</v>
      </c>
      <c r="B2" s="23" t="s">
        <v>238</v>
      </c>
      <c r="C2" s="23" t="s">
        <v>239</v>
      </c>
      <c r="D2" s="23" t="s">
        <v>240</v>
      </c>
      <c r="E2" s="24" t="s">
        <v>241</v>
      </c>
      <c r="F2" s="25" t="s">
        <v>242</v>
      </c>
      <c r="G2" s="26" t="s">
        <v>243</v>
      </c>
      <c r="H2" s="25" t="s">
        <v>244</v>
      </c>
      <c r="I2" s="25" t="s">
        <v>245</v>
      </c>
      <c r="J2" s="27" t="s">
        <v>246</v>
      </c>
      <c r="K2" s="28"/>
      <c r="L2" s="29"/>
      <c r="M2" s="29"/>
      <c r="N2" s="30"/>
    </row>
    <row r="3" spans="1:14" ht="15">
      <c r="A3" s="31">
        <v>1</v>
      </c>
      <c r="B3" s="32">
        <v>846</v>
      </c>
      <c r="C3" s="32">
        <v>0</v>
      </c>
      <c r="D3" s="33">
        <f>B3+C3</f>
        <v>846</v>
      </c>
      <c r="E3" s="34">
        <f>D3</f>
        <v>846</v>
      </c>
      <c r="F3" s="32">
        <v>0</v>
      </c>
      <c r="G3" s="35">
        <f>F3</f>
        <v>0</v>
      </c>
      <c r="H3" s="31">
        <f>D3-F3</f>
        <v>846</v>
      </c>
      <c r="I3" s="31">
        <f>H3</f>
        <v>846</v>
      </c>
      <c r="J3" s="36"/>
      <c r="K3" s="17"/>
      <c r="L3" s="17"/>
    </row>
    <row r="4" spans="1:14" ht="15">
      <c r="A4" s="37">
        <f>A3+1</f>
        <v>2</v>
      </c>
      <c r="B4" s="32">
        <v>846</v>
      </c>
      <c r="C4" s="32">
        <v>0</v>
      </c>
      <c r="D4" s="38">
        <f t="shared" ref="D4:D26" si="0">B4+C4</f>
        <v>846</v>
      </c>
      <c r="E4" s="39">
        <f>E3+D4</f>
        <v>1692</v>
      </c>
      <c r="F4" s="32">
        <v>0</v>
      </c>
      <c r="G4" s="40">
        <f>G3+F4</f>
        <v>0</v>
      </c>
      <c r="H4" s="37">
        <f t="shared" ref="H4:H26" si="1">D4-F4</f>
        <v>846</v>
      </c>
      <c r="I4" s="37">
        <f>I3+H4</f>
        <v>1692</v>
      </c>
      <c r="J4" s="41"/>
      <c r="K4" s="17"/>
      <c r="L4" s="17"/>
    </row>
    <row r="5" spans="1:14" ht="15">
      <c r="A5" s="37">
        <f t="shared" ref="A5:A26" si="2">A4+1</f>
        <v>3</v>
      </c>
      <c r="B5" s="32">
        <v>846</v>
      </c>
      <c r="C5" s="32">
        <v>0</v>
      </c>
      <c r="D5" s="38">
        <f t="shared" si="0"/>
        <v>846</v>
      </c>
      <c r="E5" s="39">
        <f t="shared" ref="E5:E25" si="3">E4+D5</f>
        <v>2538</v>
      </c>
      <c r="F5" s="32">
        <v>0</v>
      </c>
      <c r="G5" s="40">
        <f t="shared" ref="G5:G26" si="4">G4+F5</f>
        <v>0</v>
      </c>
      <c r="H5" s="37">
        <f t="shared" si="1"/>
        <v>846</v>
      </c>
      <c r="I5" s="37">
        <f t="shared" ref="I5:I25" si="5">I4+H5</f>
        <v>2538</v>
      </c>
      <c r="J5" s="41"/>
      <c r="K5" s="17"/>
      <c r="L5" s="17"/>
    </row>
    <row r="6" spans="1:14" ht="15">
      <c r="A6" s="37">
        <f t="shared" si="2"/>
        <v>4</v>
      </c>
      <c r="B6" s="32">
        <v>846</v>
      </c>
      <c r="C6" s="32">
        <v>0</v>
      </c>
      <c r="D6" s="38">
        <f t="shared" si="0"/>
        <v>846</v>
      </c>
      <c r="E6" s="39">
        <f t="shared" si="3"/>
        <v>3384</v>
      </c>
      <c r="F6" s="32">
        <v>0</v>
      </c>
      <c r="G6" s="40">
        <f t="shared" si="4"/>
        <v>0</v>
      </c>
      <c r="H6" s="37">
        <f t="shared" si="1"/>
        <v>846</v>
      </c>
      <c r="I6" s="37">
        <f t="shared" si="5"/>
        <v>3384</v>
      </c>
      <c r="J6" s="41"/>
      <c r="K6" s="17"/>
      <c r="L6" s="17"/>
    </row>
    <row r="7" spans="1:14" ht="15">
      <c r="A7" s="37">
        <f t="shared" si="2"/>
        <v>5</v>
      </c>
      <c r="B7" s="32">
        <v>846</v>
      </c>
      <c r="C7" s="32">
        <v>0</v>
      </c>
      <c r="D7" s="38">
        <f t="shared" si="0"/>
        <v>846</v>
      </c>
      <c r="E7" s="39">
        <f t="shared" si="3"/>
        <v>4230</v>
      </c>
      <c r="F7" s="32">
        <v>0</v>
      </c>
      <c r="G7" s="40">
        <f t="shared" si="4"/>
        <v>0</v>
      </c>
      <c r="H7" s="37">
        <f t="shared" si="1"/>
        <v>846</v>
      </c>
      <c r="I7" s="37">
        <f t="shared" si="5"/>
        <v>4230</v>
      </c>
      <c r="J7" s="41"/>
      <c r="K7" s="17"/>
      <c r="L7" s="17"/>
    </row>
    <row r="8" spans="1:14" ht="15">
      <c r="A8" s="37">
        <f t="shared" si="2"/>
        <v>6</v>
      </c>
      <c r="B8" s="32">
        <v>0</v>
      </c>
      <c r="C8" s="32">
        <v>0</v>
      </c>
      <c r="D8" s="38">
        <f t="shared" si="0"/>
        <v>0</v>
      </c>
      <c r="E8" s="39">
        <f t="shared" si="3"/>
        <v>4230</v>
      </c>
      <c r="F8" s="32">
        <f>'Daily toilet habits'!C7</f>
        <v>152.20000000000002</v>
      </c>
      <c r="G8" s="40">
        <f t="shared" si="4"/>
        <v>152.20000000000002</v>
      </c>
      <c r="H8" s="37">
        <f t="shared" si="1"/>
        <v>-152.20000000000002</v>
      </c>
      <c r="I8" s="37">
        <f t="shared" si="5"/>
        <v>4077.8</v>
      </c>
      <c r="J8" s="41"/>
      <c r="K8" s="17"/>
      <c r="L8" s="17"/>
    </row>
    <row r="9" spans="1:14" ht="15">
      <c r="A9" s="37">
        <f t="shared" si="2"/>
        <v>7</v>
      </c>
      <c r="B9" s="32">
        <v>0</v>
      </c>
      <c r="C9" s="32">
        <v>0</v>
      </c>
      <c r="D9" s="38">
        <f t="shared" si="0"/>
        <v>0</v>
      </c>
      <c r="E9" s="39">
        <f t="shared" si="3"/>
        <v>4230</v>
      </c>
      <c r="F9" s="32">
        <f>'Daily toilet habits'!C8</f>
        <v>304.40000000000003</v>
      </c>
      <c r="G9" s="40">
        <f t="shared" si="4"/>
        <v>456.6</v>
      </c>
      <c r="H9" s="37">
        <f t="shared" si="1"/>
        <v>-304.40000000000003</v>
      </c>
      <c r="I9" s="37">
        <f t="shared" si="5"/>
        <v>3773.4</v>
      </c>
      <c r="J9" s="41"/>
      <c r="K9" s="17"/>
      <c r="L9" s="17"/>
    </row>
    <row r="10" spans="1:14" ht="15">
      <c r="A10" s="37">
        <f t="shared" si="2"/>
        <v>8</v>
      </c>
      <c r="B10" s="32">
        <v>0</v>
      </c>
      <c r="C10" s="32">
        <v>0</v>
      </c>
      <c r="D10" s="38">
        <f>B10+C10</f>
        <v>0</v>
      </c>
      <c r="E10" s="39">
        <f>E9+D10</f>
        <v>4230</v>
      </c>
      <c r="F10" s="32">
        <f>'Daily toilet habits'!C9</f>
        <v>456.59999999999997</v>
      </c>
      <c r="G10" s="40">
        <f t="shared" si="4"/>
        <v>913.2</v>
      </c>
      <c r="H10" s="37">
        <f>D10-F10</f>
        <v>-456.59999999999997</v>
      </c>
      <c r="I10" s="37">
        <f>I9+H10</f>
        <v>3316.8</v>
      </c>
      <c r="J10" s="41"/>
      <c r="K10" s="17"/>
      <c r="L10" s="17"/>
    </row>
    <row r="11" spans="1:14" ht="15">
      <c r="A11" s="37">
        <f t="shared" si="2"/>
        <v>9</v>
      </c>
      <c r="B11" s="32">
        <v>0</v>
      </c>
      <c r="C11" s="32">
        <v>0</v>
      </c>
      <c r="D11" s="38">
        <f t="shared" si="0"/>
        <v>0</v>
      </c>
      <c r="E11" s="39">
        <f>E10+D11</f>
        <v>4230</v>
      </c>
      <c r="F11" s="32">
        <f>'Daily toilet habits'!C10</f>
        <v>684.9</v>
      </c>
      <c r="G11" s="40">
        <f t="shared" si="4"/>
        <v>1598.1</v>
      </c>
      <c r="H11" s="37">
        <f t="shared" si="1"/>
        <v>-684.9</v>
      </c>
      <c r="I11" s="37">
        <f t="shared" si="5"/>
        <v>2631.9</v>
      </c>
      <c r="J11" s="41"/>
      <c r="K11" s="17"/>
      <c r="L11" s="17"/>
    </row>
    <row r="12" spans="1:14" ht="15">
      <c r="A12" s="37">
        <f t="shared" si="2"/>
        <v>10</v>
      </c>
      <c r="B12" s="32">
        <v>0</v>
      </c>
      <c r="C12" s="32">
        <v>0</v>
      </c>
      <c r="D12" s="38">
        <f t="shared" si="0"/>
        <v>0</v>
      </c>
      <c r="E12" s="39">
        <f t="shared" si="3"/>
        <v>4230</v>
      </c>
      <c r="F12" s="32">
        <f>'Daily toilet habits'!C11</f>
        <v>913.19999999999993</v>
      </c>
      <c r="G12" s="40">
        <f t="shared" si="4"/>
        <v>2511.2999999999997</v>
      </c>
      <c r="H12" s="37">
        <f t="shared" si="1"/>
        <v>-913.19999999999993</v>
      </c>
      <c r="I12" s="37">
        <f t="shared" si="5"/>
        <v>1718.7000000000003</v>
      </c>
      <c r="J12" s="41"/>
      <c r="K12" s="17"/>
      <c r="L12" s="17"/>
    </row>
    <row r="13" spans="1:14" ht="15">
      <c r="A13" s="37">
        <f t="shared" si="2"/>
        <v>11</v>
      </c>
      <c r="B13" s="32">
        <v>0</v>
      </c>
      <c r="C13" s="32">
        <v>0</v>
      </c>
      <c r="D13" s="38">
        <f t="shared" si="0"/>
        <v>0</v>
      </c>
      <c r="E13" s="39">
        <f t="shared" si="3"/>
        <v>4230</v>
      </c>
      <c r="F13" s="32">
        <f>'Daily toilet habits'!C12</f>
        <v>532.70000000000005</v>
      </c>
      <c r="G13" s="40">
        <f t="shared" si="4"/>
        <v>3044</v>
      </c>
      <c r="H13" s="37">
        <f t="shared" si="1"/>
        <v>-532.70000000000005</v>
      </c>
      <c r="I13" s="37">
        <f t="shared" si="5"/>
        <v>1186.0000000000002</v>
      </c>
      <c r="J13" s="41"/>
      <c r="K13" s="17"/>
      <c r="L13" s="17"/>
    </row>
    <row r="14" spans="1:14" ht="15">
      <c r="A14" s="37">
        <f t="shared" si="2"/>
        <v>12</v>
      </c>
      <c r="B14" s="32">
        <v>0</v>
      </c>
      <c r="C14" s="32">
        <v>0</v>
      </c>
      <c r="D14" s="38">
        <f t="shared" si="0"/>
        <v>0</v>
      </c>
      <c r="E14" s="39">
        <f t="shared" si="3"/>
        <v>4230</v>
      </c>
      <c r="F14" s="32">
        <f>'Daily toilet habits'!C13</f>
        <v>761</v>
      </c>
      <c r="G14" s="40">
        <f t="shared" si="4"/>
        <v>3805</v>
      </c>
      <c r="H14" s="37">
        <f t="shared" si="1"/>
        <v>-761</v>
      </c>
      <c r="I14" s="37">
        <f t="shared" si="5"/>
        <v>425.00000000000023</v>
      </c>
      <c r="J14" s="41"/>
      <c r="K14" s="17"/>
      <c r="L14" s="17"/>
    </row>
    <row r="15" spans="1:14" ht="15">
      <c r="A15" s="37">
        <f t="shared" si="2"/>
        <v>13</v>
      </c>
      <c r="B15" s="32">
        <v>0</v>
      </c>
      <c r="C15" s="42"/>
      <c r="D15" s="38">
        <f t="shared" si="0"/>
        <v>0</v>
      </c>
      <c r="E15" s="39">
        <f t="shared" si="3"/>
        <v>4230</v>
      </c>
      <c r="F15" s="32">
        <f>'Daily toilet habits'!C14</f>
        <v>989.30000000000007</v>
      </c>
      <c r="G15" s="40">
        <f t="shared" si="4"/>
        <v>4794.3</v>
      </c>
      <c r="H15" s="37">
        <f t="shared" si="1"/>
        <v>-989.30000000000007</v>
      </c>
      <c r="I15" s="37">
        <f t="shared" si="5"/>
        <v>-564.29999999999984</v>
      </c>
      <c r="J15" s="41"/>
      <c r="K15" s="17"/>
      <c r="L15" s="17"/>
    </row>
    <row r="16" spans="1:14" ht="15">
      <c r="A16" s="37">
        <f t="shared" si="2"/>
        <v>14</v>
      </c>
      <c r="B16" s="32">
        <v>0</v>
      </c>
      <c r="C16" s="42"/>
      <c r="D16" s="38">
        <f t="shared" si="0"/>
        <v>0</v>
      </c>
      <c r="E16" s="39">
        <f>E15+D16</f>
        <v>4230</v>
      </c>
      <c r="F16" s="32">
        <f>'Daily toilet habits'!C15</f>
        <v>761</v>
      </c>
      <c r="G16" s="40">
        <f t="shared" si="4"/>
        <v>5555.3</v>
      </c>
      <c r="H16" s="37">
        <f t="shared" si="1"/>
        <v>-761</v>
      </c>
      <c r="I16" s="37">
        <f t="shared" si="5"/>
        <v>-1325.2999999999997</v>
      </c>
      <c r="J16" s="41"/>
      <c r="K16" s="17"/>
      <c r="L16" s="17"/>
    </row>
    <row r="17" spans="1:12" ht="15">
      <c r="A17" s="37">
        <f t="shared" si="2"/>
        <v>15</v>
      </c>
      <c r="B17" s="32">
        <v>0</v>
      </c>
      <c r="C17" s="42"/>
      <c r="D17" s="38">
        <f t="shared" si="0"/>
        <v>0</v>
      </c>
      <c r="E17" s="39">
        <f t="shared" si="3"/>
        <v>4230</v>
      </c>
      <c r="F17" s="32">
        <f>'Daily toilet habits'!C16</f>
        <v>456.59999999999997</v>
      </c>
      <c r="G17" s="40">
        <f t="shared" si="4"/>
        <v>6011.9000000000005</v>
      </c>
      <c r="H17" s="37">
        <f t="shared" si="1"/>
        <v>-456.59999999999997</v>
      </c>
      <c r="I17" s="37">
        <f t="shared" si="5"/>
        <v>-1781.8999999999996</v>
      </c>
      <c r="J17" s="41"/>
      <c r="K17" s="17"/>
      <c r="L17" s="17"/>
    </row>
    <row r="18" spans="1:12" ht="15">
      <c r="A18" s="37">
        <f t="shared" si="2"/>
        <v>16</v>
      </c>
      <c r="B18" s="32">
        <v>0</v>
      </c>
      <c r="C18" s="42"/>
      <c r="D18" s="38">
        <f t="shared" si="0"/>
        <v>0</v>
      </c>
      <c r="E18" s="39">
        <f t="shared" si="3"/>
        <v>4230</v>
      </c>
      <c r="F18" s="32">
        <f>'Daily toilet habits'!C17</f>
        <v>532.70000000000005</v>
      </c>
      <c r="G18" s="40">
        <f t="shared" si="4"/>
        <v>6544.6</v>
      </c>
      <c r="H18" s="37">
        <f t="shared" si="1"/>
        <v>-532.70000000000005</v>
      </c>
      <c r="I18" s="37">
        <f t="shared" si="5"/>
        <v>-2314.5999999999995</v>
      </c>
      <c r="J18" s="41"/>
      <c r="K18" s="17"/>
      <c r="L18" s="17"/>
    </row>
    <row r="19" spans="1:12" ht="15">
      <c r="A19" s="37">
        <f t="shared" si="2"/>
        <v>17</v>
      </c>
      <c r="B19" s="32">
        <v>0</v>
      </c>
      <c r="C19" s="42"/>
      <c r="D19" s="38">
        <f t="shared" si="0"/>
        <v>0</v>
      </c>
      <c r="E19" s="39">
        <f t="shared" si="3"/>
        <v>4230</v>
      </c>
      <c r="F19" s="32">
        <f>'Daily toilet habits'!C18</f>
        <v>608.80000000000007</v>
      </c>
      <c r="G19" s="40">
        <f t="shared" si="4"/>
        <v>7153.4000000000005</v>
      </c>
      <c r="H19" s="37">
        <f t="shared" si="1"/>
        <v>-608.80000000000007</v>
      </c>
      <c r="I19" s="37">
        <f t="shared" si="5"/>
        <v>-2923.3999999999996</v>
      </c>
      <c r="J19" s="41"/>
      <c r="K19" s="17"/>
      <c r="L19" s="17"/>
    </row>
    <row r="20" spans="1:12" ht="15">
      <c r="A20" s="37">
        <f t="shared" si="2"/>
        <v>18</v>
      </c>
      <c r="B20" s="32">
        <v>0</v>
      </c>
      <c r="C20" s="42"/>
      <c r="D20" s="38">
        <f t="shared" si="0"/>
        <v>0</v>
      </c>
      <c r="E20" s="39">
        <f t="shared" si="3"/>
        <v>4230</v>
      </c>
      <c r="F20" s="32">
        <f>'Daily toilet habits'!C19</f>
        <v>304.40000000000003</v>
      </c>
      <c r="G20" s="40">
        <f t="shared" si="4"/>
        <v>7457.8</v>
      </c>
      <c r="H20" s="37">
        <f t="shared" si="1"/>
        <v>-304.40000000000003</v>
      </c>
      <c r="I20" s="37">
        <f t="shared" si="5"/>
        <v>-3227.7999999999997</v>
      </c>
      <c r="J20" s="41"/>
      <c r="K20" s="17"/>
      <c r="L20" s="17"/>
    </row>
    <row r="21" spans="1:12" ht="15">
      <c r="A21" s="37">
        <f t="shared" si="2"/>
        <v>19</v>
      </c>
      <c r="B21" s="32">
        <v>0</v>
      </c>
      <c r="C21" s="42"/>
      <c r="D21" s="38">
        <f t="shared" si="0"/>
        <v>0</v>
      </c>
      <c r="E21" s="39">
        <f t="shared" si="3"/>
        <v>4230</v>
      </c>
      <c r="F21" s="32">
        <f>'Daily toilet habits'!C20</f>
        <v>152.20000000000002</v>
      </c>
      <c r="G21" s="40">
        <f t="shared" si="4"/>
        <v>7610</v>
      </c>
      <c r="H21" s="37">
        <f t="shared" si="1"/>
        <v>-152.20000000000002</v>
      </c>
      <c r="I21" s="37">
        <f t="shared" si="5"/>
        <v>-3379.9999999999995</v>
      </c>
      <c r="J21" s="41"/>
      <c r="K21" s="17"/>
      <c r="L21" s="17"/>
    </row>
    <row r="22" spans="1:12" ht="15">
      <c r="A22" s="37">
        <f t="shared" si="2"/>
        <v>20</v>
      </c>
      <c r="B22" s="32">
        <v>0</v>
      </c>
      <c r="C22" s="42"/>
      <c r="D22" s="38">
        <f t="shared" si="0"/>
        <v>0</v>
      </c>
      <c r="E22" s="39">
        <f t="shared" si="3"/>
        <v>4230</v>
      </c>
      <c r="F22" s="32">
        <v>0</v>
      </c>
      <c r="G22" s="40">
        <f t="shared" si="4"/>
        <v>7610</v>
      </c>
      <c r="H22" s="37">
        <f t="shared" si="1"/>
        <v>0</v>
      </c>
      <c r="I22" s="37">
        <f t="shared" si="5"/>
        <v>-3379.9999999999995</v>
      </c>
      <c r="J22" s="41"/>
      <c r="K22" s="17"/>
      <c r="L22" s="17"/>
    </row>
    <row r="23" spans="1:12" ht="15">
      <c r="A23" s="37">
        <f t="shared" si="2"/>
        <v>21</v>
      </c>
      <c r="B23" s="32">
        <v>846</v>
      </c>
      <c r="C23" s="42"/>
      <c r="D23" s="38">
        <f t="shared" si="0"/>
        <v>846</v>
      </c>
      <c r="E23" s="39">
        <f t="shared" si="3"/>
        <v>5076</v>
      </c>
      <c r="F23" s="32">
        <f>'Daily toilet habits'!C27</f>
        <v>0</v>
      </c>
      <c r="G23" s="40">
        <f t="shared" si="4"/>
        <v>7610</v>
      </c>
      <c r="H23" s="37">
        <f t="shared" si="1"/>
        <v>846</v>
      </c>
      <c r="I23" s="37">
        <f t="shared" si="5"/>
        <v>-2533.9999999999995</v>
      </c>
      <c r="J23" s="41"/>
      <c r="K23" s="17"/>
      <c r="L23" s="17"/>
    </row>
    <row r="24" spans="1:12" ht="15">
      <c r="A24" s="37">
        <f t="shared" si="2"/>
        <v>22</v>
      </c>
      <c r="B24" s="32">
        <v>846</v>
      </c>
      <c r="C24" s="42"/>
      <c r="D24" s="38">
        <f t="shared" si="0"/>
        <v>846</v>
      </c>
      <c r="E24" s="39">
        <f t="shared" si="3"/>
        <v>5922</v>
      </c>
      <c r="F24" s="32">
        <f>'Daily toilet habits'!C28</f>
        <v>0</v>
      </c>
      <c r="G24" s="40">
        <f t="shared" si="4"/>
        <v>7610</v>
      </c>
      <c r="H24" s="37">
        <f t="shared" si="1"/>
        <v>846</v>
      </c>
      <c r="I24" s="37">
        <f t="shared" si="5"/>
        <v>-1687.9999999999995</v>
      </c>
      <c r="J24" s="41"/>
      <c r="K24" s="17"/>
      <c r="L24" s="17"/>
    </row>
    <row r="25" spans="1:12" ht="15">
      <c r="A25" s="37">
        <f t="shared" si="2"/>
        <v>23</v>
      </c>
      <c r="B25" s="32">
        <v>846</v>
      </c>
      <c r="C25" s="42"/>
      <c r="D25" s="38">
        <f t="shared" si="0"/>
        <v>846</v>
      </c>
      <c r="E25" s="39">
        <f t="shared" si="3"/>
        <v>6768</v>
      </c>
      <c r="F25" s="32">
        <f>'Daily toilet habits'!C29</f>
        <v>0</v>
      </c>
      <c r="G25" s="40">
        <f t="shared" si="4"/>
        <v>7610</v>
      </c>
      <c r="H25" s="37">
        <f t="shared" si="1"/>
        <v>846</v>
      </c>
      <c r="I25" s="37">
        <f t="shared" si="5"/>
        <v>-841.99999999999955</v>
      </c>
      <c r="J25" s="41"/>
      <c r="K25" s="17"/>
      <c r="L25" s="17"/>
    </row>
    <row r="26" spans="1:12" ht="15">
      <c r="A26" s="43">
        <f t="shared" si="2"/>
        <v>24</v>
      </c>
      <c r="B26" s="32">
        <v>846</v>
      </c>
      <c r="C26" s="42"/>
      <c r="D26" s="44">
        <f t="shared" si="0"/>
        <v>846</v>
      </c>
      <c r="E26" s="45">
        <f>E25+D26</f>
        <v>7614</v>
      </c>
      <c r="F26" s="32">
        <f>'Daily toilet habits'!C30</f>
        <v>0</v>
      </c>
      <c r="G26" s="46">
        <f t="shared" si="4"/>
        <v>7610</v>
      </c>
      <c r="H26" s="43">
        <f t="shared" si="1"/>
        <v>846</v>
      </c>
      <c r="I26" s="47">
        <f>I25+H26</f>
        <v>4.0000000000004547</v>
      </c>
      <c r="J26" s="48"/>
      <c r="K26" s="17"/>
      <c r="L26" s="17"/>
    </row>
    <row r="27" spans="1:12">
      <c r="A27" s="17"/>
      <c r="B27" s="17"/>
      <c r="C27" s="17"/>
      <c r="D27" s="17"/>
      <c r="E27" s="17"/>
      <c r="F27" s="17"/>
      <c r="G27" s="17"/>
      <c r="H27" s="17"/>
      <c r="I27" s="49" cm="1">
        <f t="array" ref="I27">MAX(ABS(I3:I26))</f>
        <v>4230</v>
      </c>
      <c r="J27" s="21"/>
      <c r="K27" s="17"/>
      <c r="L27" s="17"/>
    </row>
    <row r="28" spans="1:12">
      <c r="A28" s="17"/>
      <c r="B28" s="17"/>
      <c r="C28" s="17"/>
      <c r="D28" s="17"/>
      <c r="E28" s="17"/>
      <c r="F28" s="17"/>
      <c r="G28" s="17"/>
      <c r="H28" s="17"/>
      <c r="I28" s="17"/>
      <c r="J28" s="21"/>
      <c r="K28" s="17"/>
      <c r="L28" s="17"/>
    </row>
    <row r="29" spans="1:12">
      <c r="A29" s="17"/>
      <c r="B29" s="17"/>
      <c r="C29" s="17"/>
      <c r="D29" s="17"/>
      <c r="E29" s="17"/>
      <c r="F29" s="17"/>
      <c r="G29" s="17"/>
      <c r="H29" s="17"/>
      <c r="I29" s="17"/>
      <c r="J29" s="21"/>
      <c r="K29" s="17"/>
      <c r="L29" s="17"/>
    </row>
    <row r="30" spans="1:12">
      <c r="A30" s="17"/>
      <c r="B30" s="17"/>
      <c r="C30" s="17"/>
      <c r="D30" s="17"/>
      <c r="E30" s="17"/>
      <c r="F30" s="17"/>
      <c r="G30" s="17"/>
      <c r="H30" s="17"/>
      <c r="I30" s="17"/>
      <c r="J30" s="21"/>
      <c r="K30" s="17"/>
      <c r="L30" s="17"/>
    </row>
    <row r="31" spans="1:12">
      <c r="A31" s="17"/>
      <c r="B31" s="17"/>
      <c r="C31" s="17"/>
      <c r="D31" s="17"/>
      <c r="E31" s="17"/>
      <c r="F31" s="17"/>
      <c r="G31" s="17"/>
      <c r="H31" s="17"/>
      <c r="I31" s="17"/>
      <c r="J31" s="21"/>
      <c r="K31" s="17"/>
      <c r="L31" s="17"/>
    </row>
    <row r="32" spans="1:12">
      <c r="A32" s="17"/>
      <c r="B32" s="17"/>
      <c r="C32" s="17"/>
      <c r="D32" s="17"/>
      <c r="E32" s="17"/>
      <c r="F32" s="17"/>
      <c r="G32" s="17"/>
      <c r="H32" s="17"/>
      <c r="I32" s="17"/>
      <c r="J32" s="21"/>
      <c r="K32" s="17"/>
      <c r="L32" s="17"/>
    </row>
    <row r="33" spans="1:12">
      <c r="A33" s="17"/>
      <c r="B33" s="17"/>
      <c r="C33" s="17"/>
      <c r="D33" s="17"/>
      <c r="E33" s="17"/>
      <c r="F33" s="17"/>
      <c r="G33" s="17"/>
      <c r="H33" s="17"/>
      <c r="I33" s="17"/>
      <c r="J33" s="21"/>
      <c r="K33" s="17"/>
      <c r="L33" s="17"/>
    </row>
    <row r="34" spans="1:12">
      <c r="A34" s="17"/>
      <c r="B34" s="17"/>
      <c r="C34" s="17"/>
      <c r="D34" s="17"/>
      <c r="E34" s="17"/>
      <c r="F34" s="17"/>
      <c r="G34" s="17"/>
      <c r="H34" s="17"/>
      <c r="I34" s="17"/>
      <c r="J34" s="21"/>
      <c r="K34" s="17"/>
      <c r="L34" s="17"/>
    </row>
    <row r="35" spans="1:12">
      <c r="A35" s="17"/>
      <c r="B35" s="17"/>
      <c r="C35" s="17"/>
      <c r="D35" s="17"/>
      <c r="E35" s="17"/>
      <c r="F35" s="17"/>
      <c r="G35" s="17"/>
      <c r="H35" s="17"/>
      <c r="I35" s="17"/>
      <c r="J35" s="21"/>
      <c r="K35" s="17"/>
      <c r="L35" s="17"/>
    </row>
  </sheetData>
  <pageMargins left="0.7" right="0.7" top="0.75" bottom="0.75" header="0.3" footer="0.3"/>
  <ignoredErrors>
    <ignoredError sqref="F8" formula="1"/>
  </ignoredErrors>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448EB-59C6-4E92-8DC1-C43E2DB8AC93}">
  <dimension ref="A1:C25"/>
  <sheetViews>
    <sheetView workbookViewId="0">
      <selection activeCell="C4" sqref="C4"/>
    </sheetView>
  </sheetViews>
  <sheetFormatPr defaultRowHeight="14.45"/>
  <cols>
    <col min="1" max="1" width="18.42578125" bestFit="1" customWidth="1"/>
    <col min="2" max="2" width="18.85546875" bestFit="1" customWidth="1"/>
    <col min="3" max="3" width="14.140625" bestFit="1" customWidth="1"/>
  </cols>
  <sheetData>
    <row r="1" spans="1:3">
      <c r="A1" s="15" t="s">
        <v>247</v>
      </c>
      <c r="B1" s="52" t="s">
        <v>151</v>
      </c>
    </row>
    <row r="2" spans="1:3">
      <c r="A2" s="51">
        <v>862</v>
      </c>
      <c r="B2" s="53">
        <v>0</v>
      </c>
      <c r="C2" s="55"/>
    </row>
    <row r="3" spans="1:3">
      <c r="A3" s="51">
        <f>A2+862</f>
        <v>1724</v>
      </c>
      <c r="B3" s="54">
        <v>0</v>
      </c>
    </row>
    <row r="4" spans="1:3">
      <c r="A4" s="51">
        <f t="shared" ref="A4:A10" si="0">A3+862</f>
        <v>2586</v>
      </c>
      <c r="B4" s="54">
        <v>0</v>
      </c>
    </row>
    <row r="5" spans="1:3">
      <c r="A5" s="51">
        <f t="shared" si="0"/>
        <v>3448</v>
      </c>
      <c r="B5" s="54">
        <v>0</v>
      </c>
    </row>
    <row r="6" spans="1:3">
      <c r="A6" s="51">
        <f t="shared" si="0"/>
        <v>4310</v>
      </c>
      <c r="B6" s="54">
        <v>0</v>
      </c>
    </row>
    <row r="7" spans="1:3">
      <c r="A7" s="51">
        <f t="shared" si="0"/>
        <v>5172</v>
      </c>
      <c r="B7" s="54">
        <v>0</v>
      </c>
    </row>
    <row r="8" spans="1:3">
      <c r="A8" s="51">
        <f t="shared" si="0"/>
        <v>6034</v>
      </c>
      <c r="B8" s="54">
        <v>0</v>
      </c>
    </row>
    <row r="9" spans="1:3">
      <c r="A9" s="51">
        <f t="shared" si="0"/>
        <v>6896</v>
      </c>
      <c r="B9" s="54">
        <v>0</v>
      </c>
    </row>
    <row r="10" spans="1:3">
      <c r="A10" s="51">
        <f t="shared" si="0"/>
        <v>7758</v>
      </c>
      <c r="B10" s="54">
        <v>0</v>
      </c>
    </row>
    <row r="11" spans="1:3">
      <c r="A11" s="51">
        <f>A10-B11</f>
        <v>7605.8</v>
      </c>
      <c r="B11" s="53" cm="1">
        <f t="array" ref="B11:B24">'Weekday tank'!F8:F21</f>
        <v>152.20000000000002</v>
      </c>
    </row>
    <row r="12" spans="1:3">
      <c r="A12" s="51">
        <f>A11-B12</f>
        <v>7301.4000000000005</v>
      </c>
      <c r="B12" s="54">
        <v>304.40000000000003</v>
      </c>
    </row>
    <row r="13" spans="1:3">
      <c r="A13" s="51">
        <f t="shared" ref="A13:A25" si="1">A12-B13</f>
        <v>6844.8</v>
      </c>
      <c r="B13" s="54">
        <v>456.59999999999997</v>
      </c>
    </row>
    <row r="14" spans="1:3">
      <c r="A14" s="51">
        <f t="shared" si="1"/>
        <v>6159.9000000000005</v>
      </c>
      <c r="B14" s="54">
        <v>684.9</v>
      </c>
    </row>
    <row r="15" spans="1:3">
      <c r="A15" s="51">
        <f t="shared" si="1"/>
        <v>5246.7000000000007</v>
      </c>
      <c r="B15" s="54">
        <v>913.19999999999993</v>
      </c>
    </row>
    <row r="16" spans="1:3">
      <c r="A16" s="51">
        <f t="shared" si="1"/>
        <v>4714.0000000000009</v>
      </c>
      <c r="B16" s="54">
        <v>532.70000000000005</v>
      </c>
    </row>
    <row r="17" spans="1:2">
      <c r="A17" s="51">
        <f t="shared" si="1"/>
        <v>3953.0000000000009</v>
      </c>
      <c r="B17" s="54">
        <v>761</v>
      </c>
    </row>
    <row r="18" spans="1:2">
      <c r="A18" s="51">
        <f t="shared" si="1"/>
        <v>2963.7000000000007</v>
      </c>
      <c r="B18" s="54">
        <v>989.30000000000007</v>
      </c>
    </row>
    <row r="19" spans="1:2">
      <c r="A19" s="51">
        <f t="shared" si="1"/>
        <v>2202.7000000000007</v>
      </c>
      <c r="B19" s="54">
        <v>761</v>
      </c>
    </row>
    <row r="20" spans="1:2">
      <c r="A20" s="51">
        <f t="shared" si="1"/>
        <v>1746.1000000000008</v>
      </c>
      <c r="B20" s="54">
        <v>456.59999999999997</v>
      </c>
    </row>
    <row r="21" spans="1:2">
      <c r="A21" s="51">
        <f t="shared" si="1"/>
        <v>1213.4000000000008</v>
      </c>
      <c r="B21" s="54">
        <v>532.70000000000005</v>
      </c>
    </row>
    <row r="22" spans="1:2">
      <c r="A22" s="51">
        <f t="shared" si="1"/>
        <v>604.6000000000007</v>
      </c>
      <c r="B22" s="54">
        <v>608.80000000000007</v>
      </c>
    </row>
    <row r="23" spans="1:2">
      <c r="A23" s="51">
        <f t="shared" si="1"/>
        <v>300.20000000000067</v>
      </c>
      <c r="B23" s="54">
        <v>304.40000000000003</v>
      </c>
    </row>
    <row r="24" spans="1:2">
      <c r="A24" s="51">
        <f t="shared" si="1"/>
        <v>148.00000000000065</v>
      </c>
      <c r="B24" s="54">
        <v>152.20000000000002</v>
      </c>
    </row>
    <row r="25" spans="1:2">
      <c r="A25" s="51">
        <f t="shared" si="1"/>
        <v>148.00000000000065</v>
      </c>
      <c r="B25" s="54">
        <v>0</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DD7C6-B525-4FC1-AC52-A36D7C60011C}">
  <dimension ref="A1:N35"/>
  <sheetViews>
    <sheetView workbookViewId="0">
      <selection activeCell="C18" sqref="C18"/>
    </sheetView>
  </sheetViews>
  <sheetFormatPr defaultRowHeight="14.45"/>
  <sheetData>
    <row r="1" spans="1:14" ht="144.94999999999999">
      <c r="A1" s="17"/>
      <c r="B1" s="18" t="s">
        <v>234</v>
      </c>
      <c r="C1" s="19" t="s">
        <v>235</v>
      </c>
      <c r="D1" s="20"/>
      <c r="E1" s="20"/>
      <c r="F1" s="19" t="s">
        <v>236</v>
      </c>
      <c r="G1" s="17"/>
      <c r="H1" s="17"/>
      <c r="I1" s="17"/>
      <c r="J1" s="21"/>
      <c r="K1" s="17"/>
      <c r="L1" s="17"/>
    </row>
    <row r="2" spans="1:14" ht="87">
      <c r="A2" s="22" t="s">
        <v>237</v>
      </c>
      <c r="B2" s="23" t="s">
        <v>238</v>
      </c>
      <c r="C2" s="23" t="s">
        <v>239</v>
      </c>
      <c r="D2" s="23" t="s">
        <v>240</v>
      </c>
      <c r="E2" s="24" t="s">
        <v>241</v>
      </c>
      <c r="F2" s="25" t="s">
        <v>242</v>
      </c>
      <c r="G2" s="26" t="s">
        <v>243</v>
      </c>
      <c r="H2" s="25" t="s">
        <v>244</v>
      </c>
      <c r="I2" s="25" t="s">
        <v>245</v>
      </c>
      <c r="J2" s="27" t="s">
        <v>246</v>
      </c>
      <c r="K2" s="28"/>
      <c r="L2" s="29"/>
      <c r="M2" s="29"/>
      <c r="N2" s="30"/>
    </row>
    <row r="3" spans="1:14" ht="15">
      <c r="A3" s="31">
        <v>1</v>
      </c>
      <c r="B3" s="32">
        <v>0</v>
      </c>
      <c r="C3" s="32">
        <v>0</v>
      </c>
      <c r="D3" s="33">
        <f>B3+C3</f>
        <v>0</v>
      </c>
      <c r="E3" s="34">
        <f>D3</f>
        <v>0</v>
      </c>
      <c r="F3" s="32">
        <v>0</v>
      </c>
      <c r="G3" s="35">
        <f>F3</f>
        <v>0</v>
      </c>
      <c r="H3" s="31">
        <f>D3-F3</f>
        <v>0</v>
      </c>
      <c r="I3" s="31">
        <f>H3</f>
        <v>0</v>
      </c>
      <c r="J3" s="36"/>
      <c r="K3" s="17"/>
      <c r="L3" s="17"/>
    </row>
    <row r="4" spans="1:14" ht="15">
      <c r="A4" s="37">
        <f>A3+1</f>
        <v>2</v>
      </c>
      <c r="B4" s="32">
        <v>0</v>
      </c>
      <c r="C4" s="32">
        <v>0</v>
      </c>
      <c r="D4" s="38">
        <f t="shared" ref="D4:D26" si="0">B4+C4</f>
        <v>0</v>
      </c>
      <c r="E4" s="39">
        <f>E3+D4</f>
        <v>0</v>
      </c>
      <c r="F4" s="32">
        <v>0</v>
      </c>
      <c r="G4" s="40">
        <f>G3+F4</f>
        <v>0</v>
      </c>
      <c r="H4" s="37">
        <f t="shared" ref="H4:H26" si="1">D4-F4</f>
        <v>0</v>
      </c>
      <c r="I4" s="37">
        <f>I3+H4</f>
        <v>0</v>
      </c>
      <c r="J4" s="41"/>
      <c r="K4" s="17"/>
      <c r="L4" s="17"/>
    </row>
    <row r="5" spans="1:14" ht="15">
      <c r="A5" s="37">
        <f t="shared" ref="A5:A26" si="2">A4+1</f>
        <v>3</v>
      </c>
      <c r="B5" s="32">
        <v>0</v>
      </c>
      <c r="C5" s="32">
        <v>0</v>
      </c>
      <c r="D5" s="38">
        <f t="shared" si="0"/>
        <v>0</v>
      </c>
      <c r="E5" s="39">
        <f t="shared" ref="E5:E25" si="3">E4+D5</f>
        <v>0</v>
      </c>
      <c r="F5" s="32">
        <v>0</v>
      </c>
      <c r="G5" s="40">
        <f t="shared" ref="G5:G26" si="4">G4+F5</f>
        <v>0</v>
      </c>
      <c r="H5" s="37">
        <f t="shared" si="1"/>
        <v>0</v>
      </c>
      <c r="I5" s="37">
        <f t="shared" ref="I5:I25" si="5">I4+H5</f>
        <v>0</v>
      </c>
      <c r="J5" s="41"/>
      <c r="K5" s="17"/>
      <c r="L5" s="17"/>
    </row>
    <row r="6" spans="1:14" ht="15">
      <c r="A6" s="37">
        <f t="shared" si="2"/>
        <v>4</v>
      </c>
      <c r="B6" s="32">
        <v>0</v>
      </c>
      <c r="C6" s="32">
        <v>0</v>
      </c>
      <c r="D6" s="38">
        <f t="shared" si="0"/>
        <v>0</v>
      </c>
      <c r="E6" s="39">
        <f t="shared" si="3"/>
        <v>0</v>
      </c>
      <c r="F6" s="32">
        <v>0</v>
      </c>
      <c r="G6" s="40">
        <f t="shared" si="4"/>
        <v>0</v>
      </c>
      <c r="H6" s="37">
        <f t="shared" si="1"/>
        <v>0</v>
      </c>
      <c r="I6" s="37">
        <f t="shared" si="5"/>
        <v>0</v>
      </c>
      <c r="J6" s="41"/>
      <c r="K6" s="17"/>
      <c r="L6" s="17"/>
    </row>
    <row r="7" spans="1:14" ht="15">
      <c r="A7" s="37">
        <f t="shared" si="2"/>
        <v>5</v>
      </c>
      <c r="B7" s="32">
        <v>0</v>
      </c>
      <c r="C7" s="32">
        <v>0</v>
      </c>
      <c r="D7" s="38">
        <f t="shared" si="0"/>
        <v>0</v>
      </c>
      <c r="E7" s="39">
        <f t="shared" si="3"/>
        <v>0</v>
      </c>
      <c r="F7" s="32">
        <v>0</v>
      </c>
      <c r="G7" s="40">
        <f t="shared" si="4"/>
        <v>0</v>
      </c>
      <c r="H7" s="37">
        <f t="shared" si="1"/>
        <v>0</v>
      </c>
      <c r="I7" s="37">
        <f t="shared" si="5"/>
        <v>0</v>
      </c>
      <c r="J7" s="41"/>
      <c r="K7" s="17"/>
      <c r="L7" s="17"/>
    </row>
    <row r="8" spans="1:14" ht="15">
      <c r="A8" s="37">
        <f t="shared" si="2"/>
        <v>6</v>
      </c>
      <c r="B8" s="32">
        <v>0</v>
      </c>
      <c r="C8" s="32">
        <v>0</v>
      </c>
      <c r="D8" s="38">
        <f t="shared" si="0"/>
        <v>0</v>
      </c>
      <c r="E8" s="39">
        <f t="shared" si="3"/>
        <v>0</v>
      </c>
      <c r="F8" s="32">
        <v>0</v>
      </c>
      <c r="G8" s="40">
        <f t="shared" si="4"/>
        <v>0</v>
      </c>
      <c r="H8" s="37">
        <f t="shared" si="1"/>
        <v>0</v>
      </c>
      <c r="I8" s="37">
        <f t="shared" si="5"/>
        <v>0</v>
      </c>
      <c r="J8" s="41"/>
      <c r="K8" s="17"/>
      <c r="L8" s="17"/>
    </row>
    <row r="9" spans="1:14" ht="15">
      <c r="A9" s="37">
        <f t="shared" si="2"/>
        <v>7</v>
      </c>
      <c r="B9" s="32">
        <v>0</v>
      </c>
      <c r="C9" s="32">
        <v>0</v>
      </c>
      <c r="D9" s="38">
        <f t="shared" si="0"/>
        <v>0</v>
      </c>
      <c r="E9" s="39">
        <f t="shared" si="3"/>
        <v>0</v>
      </c>
      <c r="F9" s="32">
        <v>0</v>
      </c>
      <c r="G9" s="40">
        <f t="shared" si="4"/>
        <v>0</v>
      </c>
      <c r="H9" s="37">
        <f t="shared" si="1"/>
        <v>0</v>
      </c>
      <c r="I9" s="37">
        <f t="shared" si="5"/>
        <v>0</v>
      </c>
      <c r="J9" s="41"/>
      <c r="K9" s="17"/>
      <c r="L9" s="17"/>
    </row>
    <row r="10" spans="1:14" ht="15">
      <c r="A10" s="37">
        <f t="shared" si="2"/>
        <v>8</v>
      </c>
      <c r="B10" s="32">
        <v>0</v>
      </c>
      <c r="C10" s="32">
        <v>0</v>
      </c>
      <c r="D10" s="38">
        <f>B10+C10</f>
        <v>0</v>
      </c>
      <c r="E10" s="39">
        <f>E9+D10</f>
        <v>0</v>
      </c>
      <c r="F10" s="32">
        <v>0</v>
      </c>
      <c r="G10" s="40">
        <f t="shared" si="4"/>
        <v>0</v>
      </c>
      <c r="H10" s="37">
        <f>D10-F10</f>
        <v>0</v>
      </c>
      <c r="I10" s="37">
        <f>I9+H10</f>
        <v>0</v>
      </c>
      <c r="J10" s="41"/>
      <c r="K10" s="17"/>
      <c r="L10" s="17"/>
    </row>
    <row r="11" spans="1:14" ht="15">
      <c r="A11" s="37">
        <f t="shared" si="2"/>
        <v>9</v>
      </c>
      <c r="B11" s="32">
        <v>0</v>
      </c>
      <c r="C11" s="32">
        <v>0</v>
      </c>
      <c r="D11" s="38">
        <f t="shared" si="0"/>
        <v>0</v>
      </c>
      <c r="E11" s="39">
        <f>E10+D11</f>
        <v>0</v>
      </c>
      <c r="F11" s="32">
        <v>0</v>
      </c>
      <c r="G11" s="40">
        <f t="shared" si="4"/>
        <v>0</v>
      </c>
      <c r="H11" s="37">
        <f t="shared" si="1"/>
        <v>0</v>
      </c>
      <c r="I11" s="37">
        <f t="shared" si="5"/>
        <v>0</v>
      </c>
      <c r="J11" s="41"/>
      <c r="K11" s="17"/>
      <c r="L11" s="17"/>
    </row>
    <row r="12" spans="1:14" ht="15">
      <c r="A12" s="37">
        <f t="shared" si="2"/>
        <v>10</v>
      </c>
      <c r="B12" s="32">
        <v>0</v>
      </c>
      <c r="C12" s="32">
        <v>0</v>
      </c>
      <c r="D12" s="38">
        <f t="shared" si="0"/>
        <v>0</v>
      </c>
      <c r="E12" s="39">
        <f t="shared" si="3"/>
        <v>0</v>
      </c>
      <c r="F12" s="32">
        <v>0</v>
      </c>
      <c r="G12" s="40">
        <f t="shared" si="4"/>
        <v>0</v>
      </c>
      <c r="H12" s="37">
        <f t="shared" si="1"/>
        <v>0</v>
      </c>
      <c r="I12" s="37">
        <f t="shared" si="5"/>
        <v>0</v>
      </c>
      <c r="J12" s="41"/>
      <c r="K12" s="17"/>
      <c r="L12" s="17"/>
    </row>
    <row r="13" spans="1:14" ht="15">
      <c r="A13" s="37">
        <f t="shared" si="2"/>
        <v>11</v>
      </c>
      <c r="B13" s="32">
        <v>0</v>
      </c>
      <c r="C13" s="32">
        <v>0</v>
      </c>
      <c r="D13" s="38">
        <f t="shared" si="0"/>
        <v>0</v>
      </c>
      <c r="E13" s="39">
        <f t="shared" si="3"/>
        <v>0</v>
      </c>
      <c r="F13" s="32">
        <v>0</v>
      </c>
      <c r="G13" s="40">
        <f t="shared" si="4"/>
        <v>0</v>
      </c>
      <c r="H13" s="37">
        <f t="shared" si="1"/>
        <v>0</v>
      </c>
      <c r="I13" s="37">
        <f t="shared" si="5"/>
        <v>0</v>
      </c>
      <c r="J13" s="41"/>
      <c r="K13" s="17"/>
      <c r="L13" s="17"/>
    </row>
    <row r="14" spans="1:14" ht="15">
      <c r="A14" s="37">
        <f t="shared" si="2"/>
        <v>12</v>
      </c>
      <c r="B14" s="32">
        <v>0</v>
      </c>
      <c r="C14" s="32">
        <v>0</v>
      </c>
      <c r="D14" s="38">
        <f t="shared" si="0"/>
        <v>0</v>
      </c>
      <c r="E14" s="39">
        <f t="shared" si="3"/>
        <v>0</v>
      </c>
      <c r="F14" s="32">
        <v>0</v>
      </c>
      <c r="G14" s="40">
        <f t="shared" si="4"/>
        <v>0</v>
      </c>
      <c r="H14" s="37">
        <f t="shared" si="1"/>
        <v>0</v>
      </c>
      <c r="I14" s="37">
        <f t="shared" si="5"/>
        <v>0</v>
      </c>
      <c r="J14" s="41"/>
      <c r="K14" s="17"/>
      <c r="L14" s="17"/>
    </row>
    <row r="15" spans="1:14" ht="15">
      <c r="A15" s="37">
        <f t="shared" si="2"/>
        <v>13</v>
      </c>
      <c r="B15" s="32">
        <v>0</v>
      </c>
      <c r="C15" s="42"/>
      <c r="D15" s="38">
        <f t="shared" si="0"/>
        <v>0</v>
      </c>
      <c r="E15" s="39">
        <f t="shared" si="3"/>
        <v>0</v>
      </c>
      <c r="F15" s="32">
        <v>0</v>
      </c>
      <c r="G15" s="40">
        <f t="shared" si="4"/>
        <v>0</v>
      </c>
      <c r="H15" s="37">
        <f t="shared" si="1"/>
        <v>0</v>
      </c>
      <c r="I15" s="37">
        <f t="shared" si="5"/>
        <v>0</v>
      </c>
      <c r="J15" s="41"/>
      <c r="K15" s="17"/>
      <c r="L15" s="17"/>
    </row>
    <row r="16" spans="1:14" ht="15">
      <c r="A16" s="37">
        <f t="shared" si="2"/>
        <v>14</v>
      </c>
      <c r="B16" s="32">
        <v>0</v>
      </c>
      <c r="C16" s="42"/>
      <c r="D16" s="38">
        <f t="shared" si="0"/>
        <v>0</v>
      </c>
      <c r="E16" s="39">
        <f>E15+D16</f>
        <v>0</v>
      </c>
      <c r="F16" s="32">
        <v>0</v>
      </c>
      <c r="G16" s="40">
        <f t="shared" si="4"/>
        <v>0</v>
      </c>
      <c r="H16" s="37">
        <f t="shared" si="1"/>
        <v>0</v>
      </c>
      <c r="I16" s="37">
        <f t="shared" si="5"/>
        <v>0</v>
      </c>
      <c r="J16" s="41"/>
      <c r="K16" s="17"/>
      <c r="L16" s="17"/>
    </row>
    <row r="17" spans="1:12" ht="15">
      <c r="A17" s="37">
        <f t="shared" si="2"/>
        <v>15</v>
      </c>
      <c r="B17" s="32">
        <v>0</v>
      </c>
      <c r="C17" s="42"/>
      <c r="D17" s="38">
        <f t="shared" si="0"/>
        <v>0</v>
      </c>
      <c r="E17" s="39">
        <f t="shared" si="3"/>
        <v>0</v>
      </c>
      <c r="F17" s="32">
        <v>0</v>
      </c>
      <c r="G17" s="40">
        <f t="shared" si="4"/>
        <v>0</v>
      </c>
      <c r="H17" s="37">
        <f t="shared" si="1"/>
        <v>0</v>
      </c>
      <c r="I17" s="37">
        <f t="shared" si="5"/>
        <v>0</v>
      </c>
      <c r="J17" s="41"/>
      <c r="K17" s="17"/>
      <c r="L17" s="17"/>
    </row>
    <row r="18" spans="1:12" ht="15">
      <c r="A18" s="37">
        <f t="shared" si="2"/>
        <v>16</v>
      </c>
      <c r="B18" s="32">
        <v>0</v>
      </c>
      <c r="C18" s="42"/>
      <c r="D18" s="38">
        <f t="shared" si="0"/>
        <v>0</v>
      </c>
      <c r="E18" s="39">
        <f t="shared" si="3"/>
        <v>0</v>
      </c>
      <c r="F18" s="32">
        <v>0</v>
      </c>
      <c r="G18" s="40">
        <f t="shared" si="4"/>
        <v>0</v>
      </c>
      <c r="H18" s="37">
        <f t="shared" si="1"/>
        <v>0</v>
      </c>
      <c r="I18" s="37">
        <f t="shared" si="5"/>
        <v>0</v>
      </c>
      <c r="J18" s="41"/>
      <c r="K18" s="17"/>
      <c r="L18" s="17"/>
    </row>
    <row r="19" spans="1:12" ht="15">
      <c r="A19" s="37">
        <f t="shared" si="2"/>
        <v>17</v>
      </c>
      <c r="B19" s="32">
        <v>0</v>
      </c>
      <c r="C19" s="42"/>
      <c r="D19" s="38">
        <f t="shared" si="0"/>
        <v>0</v>
      </c>
      <c r="E19" s="39">
        <f t="shared" si="3"/>
        <v>0</v>
      </c>
      <c r="F19" s="32">
        <v>0</v>
      </c>
      <c r="G19" s="40">
        <f t="shared" si="4"/>
        <v>0</v>
      </c>
      <c r="H19" s="37">
        <f t="shared" si="1"/>
        <v>0</v>
      </c>
      <c r="I19" s="37">
        <f t="shared" si="5"/>
        <v>0</v>
      </c>
      <c r="J19" s="41"/>
      <c r="K19" s="17"/>
      <c r="L19" s="17"/>
    </row>
    <row r="20" spans="1:12" ht="15">
      <c r="A20" s="37">
        <f t="shared" si="2"/>
        <v>18</v>
      </c>
      <c r="B20" s="32">
        <v>0</v>
      </c>
      <c r="C20" s="42"/>
      <c r="D20" s="38">
        <f t="shared" si="0"/>
        <v>0</v>
      </c>
      <c r="E20" s="39">
        <f t="shared" si="3"/>
        <v>0</v>
      </c>
      <c r="F20" s="32">
        <v>0</v>
      </c>
      <c r="G20" s="40">
        <f t="shared" si="4"/>
        <v>0</v>
      </c>
      <c r="H20" s="37">
        <f t="shared" si="1"/>
        <v>0</v>
      </c>
      <c r="I20" s="37">
        <f t="shared" si="5"/>
        <v>0</v>
      </c>
      <c r="J20" s="41"/>
      <c r="K20" s="17"/>
      <c r="L20" s="17"/>
    </row>
    <row r="21" spans="1:12" ht="15">
      <c r="A21" s="37">
        <f t="shared" si="2"/>
        <v>19</v>
      </c>
      <c r="B21" s="32">
        <v>0</v>
      </c>
      <c r="C21" s="42"/>
      <c r="D21" s="38">
        <f t="shared" si="0"/>
        <v>0</v>
      </c>
      <c r="E21" s="39">
        <f t="shared" si="3"/>
        <v>0</v>
      </c>
      <c r="F21" s="32">
        <v>0</v>
      </c>
      <c r="G21" s="40">
        <f t="shared" si="4"/>
        <v>0</v>
      </c>
      <c r="H21" s="37">
        <f t="shared" si="1"/>
        <v>0</v>
      </c>
      <c r="I21" s="37">
        <f t="shared" si="5"/>
        <v>0</v>
      </c>
      <c r="J21" s="41"/>
      <c r="K21" s="17"/>
      <c r="L21" s="17"/>
    </row>
    <row r="22" spans="1:12" ht="15">
      <c r="A22" s="37">
        <f t="shared" si="2"/>
        <v>20</v>
      </c>
      <c r="B22" s="32">
        <v>0</v>
      </c>
      <c r="C22" s="42"/>
      <c r="D22" s="38">
        <f t="shared" si="0"/>
        <v>0</v>
      </c>
      <c r="E22" s="39">
        <f t="shared" si="3"/>
        <v>0</v>
      </c>
      <c r="F22" s="32">
        <v>0</v>
      </c>
      <c r="G22" s="40">
        <f t="shared" si="4"/>
        <v>0</v>
      </c>
      <c r="H22" s="37">
        <f t="shared" si="1"/>
        <v>0</v>
      </c>
      <c r="I22" s="37">
        <f t="shared" si="5"/>
        <v>0</v>
      </c>
      <c r="J22" s="41"/>
      <c r="K22" s="17"/>
      <c r="L22" s="17"/>
    </row>
    <row r="23" spans="1:12" ht="15">
      <c r="A23" s="37">
        <f t="shared" si="2"/>
        <v>21</v>
      </c>
      <c r="B23" s="32">
        <v>0</v>
      </c>
      <c r="C23" s="42"/>
      <c r="D23" s="38">
        <f t="shared" si="0"/>
        <v>0</v>
      </c>
      <c r="E23" s="39">
        <f t="shared" si="3"/>
        <v>0</v>
      </c>
      <c r="F23" s="32">
        <v>0</v>
      </c>
      <c r="G23" s="40">
        <f t="shared" si="4"/>
        <v>0</v>
      </c>
      <c r="H23" s="37">
        <f t="shared" si="1"/>
        <v>0</v>
      </c>
      <c r="I23" s="37">
        <f t="shared" si="5"/>
        <v>0</v>
      </c>
      <c r="J23" s="41"/>
      <c r="K23" s="17"/>
      <c r="L23" s="17"/>
    </row>
    <row r="24" spans="1:12" ht="15">
      <c r="A24" s="37">
        <f t="shared" si="2"/>
        <v>22</v>
      </c>
      <c r="B24" s="32">
        <v>0</v>
      </c>
      <c r="C24" s="42"/>
      <c r="D24" s="38">
        <f t="shared" si="0"/>
        <v>0</v>
      </c>
      <c r="E24" s="39">
        <f t="shared" si="3"/>
        <v>0</v>
      </c>
      <c r="F24" s="32">
        <v>0</v>
      </c>
      <c r="G24" s="40">
        <f t="shared" si="4"/>
        <v>0</v>
      </c>
      <c r="H24" s="37">
        <f t="shared" si="1"/>
        <v>0</v>
      </c>
      <c r="I24" s="37">
        <f t="shared" si="5"/>
        <v>0</v>
      </c>
      <c r="J24" s="41"/>
      <c r="K24" s="17"/>
      <c r="L24" s="17"/>
    </row>
    <row r="25" spans="1:12" ht="15">
      <c r="A25" s="37">
        <f t="shared" si="2"/>
        <v>23</v>
      </c>
      <c r="B25" s="32">
        <v>0</v>
      </c>
      <c r="C25" s="42"/>
      <c r="D25" s="38">
        <f t="shared" si="0"/>
        <v>0</v>
      </c>
      <c r="E25" s="39">
        <f t="shared" si="3"/>
        <v>0</v>
      </c>
      <c r="F25" s="32">
        <v>0</v>
      </c>
      <c r="G25" s="40">
        <f t="shared" si="4"/>
        <v>0</v>
      </c>
      <c r="H25" s="37">
        <f t="shared" si="1"/>
        <v>0</v>
      </c>
      <c r="I25" s="37">
        <f t="shared" si="5"/>
        <v>0</v>
      </c>
      <c r="J25" s="41"/>
      <c r="K25" s="17"/>
      <c r="L25" s="17"/>
    </row>
    <row r="26" spans="1:12" ht="15">
      <c r="A26" s="43">
        <f t="shared" si="2"/>
        <v>24</v>
      </c>
      <c r="B26" s="32">
        <v>0</v>
      </c>
      <c r="C26" s="42"/>
      <c r="D26" s="44">
        <f t="shared" si="0"/>
        <v>0</v>
      </c>
      <c r="E26" s="45">
        <f>E25+D26</f>
        <v>0</v>
      </c>
      <c r="F26" s="32">
        <v>0</v>
      </c>
      <c r="G26" s="46">
        <f t="shared" si="4"/>
        <v>0</v>
      </c>
      <c r="H26" s="43">
        <f t="shared" si="1"/>
        <v>0</v>
      </c>
      <c r="I26" s="47">
        <f>I25+H26</f>
        <v>0</v>
      </c>
      <c r="J26" s="48"/>
      <c r="K26" s="17"/>
      <c r="L26" s="17"/>
    </row>
    <row r="27" spans="1:12">
      <c r="A27" s="17"/>
      <c r="B27" s="17"/>
      <c r="C27" s="17"/>
      <c r="D27" s="17"/>
      <c r="E27" s="17"/>
      <c r="F27" s="17"/>
      <c r="G27" s="17"/>
      <c r="H27" s="17"/>
      <c r="I27" s="49" cm="1">
        <f t="array" ref="I27">MAX(ABS(I3:I26))</f>
        <v>0</v>
      </c>
      <c r="J27" s="21"/>
      <c r="K27" s="17"/>
      <c r="L27" s="17"/>
    </row>
    <row r="28" spans="1:12">
      <c r="A28" s="17"/>
      <c r="B28" s="17"/>
      <c r="C28" s="17"/>
      <c r="D28" s="17"/>
      <c r="E28" s="17"/>
      <c r="F28" s="17"/>
      <c r="G28" s="17"/>
      <c r="H28" s="17"/>
      <c r="I28" s="17"/>
      <c r="J28" s="21"/>
      <c r="K28" s="17"/>
      <c r="L28" s="17"/>
    </row>
    <row r="29" spans="1:12">
      <c r="A29" s="17"/>
      <c r="B29" s="17"/>
      <c r="C29" s="17"/>
      <c r="D29" s="17"/>
      <c r="E29" s="17"/>
      <c r="F29" s="17"/>
      <c r="G29" s="17"/>
      <c r="H29" s="17"/>
      <c r="I29" s="17"/>
      <c r="J29" s="21"/>
      <c r="K29" s="17"/>
      <c r="L29" s="17"/>
    </row>
    <row r="30" spans="1:12">
      <c r="A30" s="17"/>
      <c r="B30" s="17"/>
      <c r="C30" s="17"/>
      <c r="D30" s="17"/>
      <c r="E30" s="17"/>
      <c r="F30" s="17"/>
      <c r="G30" s="17"/>
      <c r="H30" s="17"/>
      <c r="I30" s="17"/>
      <c r="J30" s="21"/>
      <c r="K30" s="17"/>
      <c r="L30" s="17"/>
    </row>
    <row r="31" spans="1:12">
      <c r="A31" s="17"/>
      <c r="B31" s="17"/>
      <c r="C31" s="17"/>
      <c r="D31" s="17"/>
      <c r="E31" s="17"/>
      <c r="F31" s="17"/>
      <c r="G31" s="17"/>
      <c r="H31" s="17"/>
      <c r="I31" s="17"/>
      <c r="J31" s="21"/>
      <c r="K31" s="17"/>
      <c r="L31" s="17"/>
    </row>
    <row r="32" spans="1:12">
      <c r="A32" s="17"/>
      <c r="B32" s="17"/>
      <c r="C32" s="17"/>
      <c r="D32" s="17"/>
      <c r="E32" s="17"/>
      <c r="F32" s="17"/>
      <c r="G32" s="17"/>
      <c r="H32" s="17"/>
      <c r="I32" s="17"/>
      <c r="J32" s="21"/>
      <c r="K32" s="17"/>
      <c r="L32" s="17"/>
    </row>
    <row r="33" spans="1:12">
      <c r="A33" s="17"/>
      <c r="B33" s="17"/>
      <c r="C33" s="17"/>
      <c r="D33" s="17"/>
      <c r="E33" s="17"/>
      <c r="F33" s="17"/>
      <c r="G33" s="17"/>
      <c r="H33" s="17"/>
      <c r="I33" s="17"/>
      <c r="J33" s="21"/>
      <c r="K33" s="17"/>
      <c r="L33" s="17"/>
    </row>
    <row r="34" spans="1:12">
      <c r="A34" s="17"/>
      <c r="B34" s="17"/>
      <c r="C34" s="17"/>
      <c r="D34" s="17"/>
      <c r="E34" s="17"/>
      <c r="F34" s="17"/>
      <c r="G34" s="17"/>
      <c r="H34" s="17"/>
      <c r="I34" s="17"/>
      <c r="J34" s="21"/>
      <c r="K34" s="17"/>
      <c r="L34" s="17"/>
    </row>
    <row r="35" spans="1:12">
      <c r="A35" s="17"/>
      <c r="B35" s="17"/>
      <c r="C35" s="17"/>
      <c r="D35" s="17"/>
      <c r="E35" s="17"/>
      <c r="F35" s="17"/>
      <c r="G35" s="17"/>
      <c r="H35" s="17"/>
      <c r="I35" s="17"/>
      <c r="J35" s="21"/>
      <c r="K35" s="17"/>
      <c r="L35" s="17"/>
    </row>
  </sheetData>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F2EE3-71A4-4C4E-A172-DDFD157050C9}">
  <dimension ref="A1"/>
  <sheetViews>
    <sheetView workbookViewId="0"/>
  </sheetViews>
  <sheetFormatPr defaultRowHeight="14.45"/>
  <sheetData>
    <row r="1" spans="1:1">
      <c r="A1">
        <f>((6*1)*('Totals average weekday'!B2+'Totals average weekday'!B8+'Totals average weekday'!B10+14))+(((4*2)+(6*1))*('Totals average weekday'!B3+'Totals average weekday'!B9+'Totals average weekday'!B11))+((4*2)*'Totals average weekday'!B5+14)</f>
        <v>7198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431E2-B7DF-41D8-9595-EB99854C20C8}">
  <dimension ref="A1:B9"/>
  <sheetViews>
    <sheetView workbookViewId="0">
      <selection activeCell="F19" sqref="F19"/>
    </sheetView>
  </sheetViews>
  <sheetFormatPr defaultRowHeight="14.45"/>
  <cols>
    <col min="1" max="1" width="16.140625" bestFit="1" customWidth="1"/>
  </cols>
  <sheetData>
    <row r="1" spans="1:2">
      <c r="A1" t="s">
        <v>248</v>
      </c>
      <c r="B1" t="s">
        <v>2</v>
      </c>
    </row>
    <row r="2" spans="1:2">
      <c r="A2" t="s">
        <v>81</v>
      </c>
    </row>
    <row r="3" spans="1:2">
      <c r="A3" t="s">
        <v>175</v>
      </c>
    </row>
    <row r="4" spans="1:2">
      <c r="A4" t="s">
        <v>84</v>
      </c>
    </row>
    <row r="5" spans="1:2">
      <c r="A5" t="s">
        <v>249</v>
      </c>
    </row>
    <row r="6" spans="1:2">
      <c r="A6" t="s">
        <v>87</v>
      </c>
    </row>
    <row r="7" spans="1:2">
      <c r="A7" t="s">
        <v>88</v>
      </c>
    </row>
    <row r="8" spans="1:2">
      <c r="A8" t="s">
        <v>250</v>
      </c>
    </row>
    <row r="9" spans="1:2">
      <c r="A9" t="s">
        <v>251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582F1-5884-4D5B-9298-6567B1B689CA}">
  <dimension ref="A1"/>
  <sheetViews>
    <sheetView workbookViewId="0">
      <selection activeCell="D18" sqref="D18"/>
    </sheetView>
  </sheetViews>
  <sheetFormatPr defaultRowHeight="14.4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53EF2-B53B-4880-9F1C-0616C45F0DE1}">
  <dimension ref="A1"/>
  <sheetViews>
    <sheetView workbookViewId="0">
      <selection activeCell="H16" sqref="H16"/>
    </sheetView>
  </sheetViews>
  <sheetFormatPr defaultRowHeight="14.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Middlemas (UG)</dc:creator>
  <cp:keywords/>
  <dc:description/>
  <cp:lastModifiedBy/>
  <cp:revision/>
  <dcterms:created xsi:type="dcterms:W3CDTF">2025-02-06T10:41:54Z</dcterms:created>
  <dcterms:modified xsi:type="dcterms:W3CDTF">2025-04-30T18:28:31Z</dcterms:modified>
  <cp:category/>
  <cp:contentStatus/>
</cp:coreProperties>
</file>