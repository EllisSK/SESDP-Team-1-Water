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mc:AlternateContent xmlns:mc="http://schemas.openxmlformats.org/markup-compatibility/2006">
    <mc:Choice Requires="x15">
      <x15ac:absPath xmlns:x15ac="http://schemas.microsoft.com/office/spreadsheetml/2010/11/ac" url="https://newcastle.sharepoint.com/sites/CEG3004-GROUP1/Shared Documents/General/Environmental/"/>
    </mc:Choice>
  </mc:AlternateContent>
  <xr:revisionPtr revIDLastSave="0" documentId="8_{499553ED-EA1F-467B-BAD0-062063EB65F1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Summary" sheetId="2" r:id="rId1"/>
    <sheet name="89100" sheetId="16" r:id="rId2"/>
    <sheet name="Graphs" sheetId="15" r:id="rId3"/>
    <sheet name="Cooking " sheetId="14" r:id="rId4"/>
    <sheet name="Savings" sheetId="9" r:id="rId5"/>
    <sheet name="Lighting" sheetId="1" r:id="rId6"/>
    <sheet name="Comps" sheetId="12" r:id="rId7"/>
    <sheet name="Other" sheetId="13" r:id="rId8"/>
    <sheet name="Solar" sheetId="7" r:id="rId9"/>
    <sheet name="OVERENERGy" sheetId="8" r:id="rId10"/>
    <sheet name="Per Room Fit Out" sheetId="10" r:id="rId11"/>
    <sheet name="Solar Pannel Dimentions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6" l="1"/>
  <c r="B3" i="16"/>
  <c r="B4" i="16"/>
  <c r="B5" i="16"/>
  <c r="B6" i="16"/>
  <c r="C6" i="16"/>
  <c r="C7" i="16"/>
  <c r="C5" i="16"/>
  <c r="C4" i="16"/>
  <c r="C3" i="16"/>
  <c r="C2" i="16"/>
  <c r="G8" i="13"/>
  <c r="F8" i="13"/>
  <c r="H9" i="13"/>
  <c r="H10" i="13"/>
  <c r="H11" i="13"/>
  <c r="H12" i="13"/>
  <c r="H13" i="13"/>
  <c r="H8" i="13"/>
  <c r="D8" i="13"/>
  <c r="H6" i="2" l="1"/>
  <c r="H1" i="2" s="1"/>
  <c r="I13" i="2" s="1"/>
  <c r="R2" i="10"/>
  <c r="H124" i="10"/>
  <c r="H125" i="10"/>
  <c r="H126" i="10"/>
  <c r="H127" i="10"/>
  <c r="F127" i="10" s="1"/>
  <c r="G127" i="10" s="1"/>
  <c r="H128" i="10"/>
  <c r="F128" i="10" s="1"/>
  <c r="G128" i="10" s="1"/>
  <c r="H129" i="10"/>
  <c r="F129" i="10" s="1"/>
  <c r="G129" i="10" s="1"/>
  <c r="F125" i="10"/>
  <c r="G125" i="10" s="1"/>
  <c r="F126" i="10"/>
  <c r="G126" i="10" s="1"/>
  <c r="E124" i="10"/>
  <c r="F124" i="10" s="1"/>
  <c r="G124" i="10" s="1"/>
  <c r="D2" i="13"/>
  <c r="E2" i="13"/>
  <c r="B4" i="12"/>
  <c r="G11" i="8"/>
  <c r="H20" i="8"/>
  <c r="N25" i="8"/>
  <c r="N24" i="8"/>
  <c r="N23" i="8"/>
  <c r="N21" i="8"/>
  <c r="G13" i="8"/>
  <c r="P2" i="11"/>
  <c r="P3" i="11"/>
  <c r="P4" i="11"/>
  <c r="P5" i="11"/>
  <c r="O3" i="11"/>
  <c r="O2" i="11" s="1"/>
  <c r="O4" i="11"/>
  <c r="G14" i="8"/>
  <c r="F5" i="10" l="1"/>
  <c r="H5" i="10"/>
  <c r="E4" i="10"/>
  <c r="T2" i="10" a="1"/>
  <c r="F9" i="13"/>
  <c r="F10" i="13"/>
  <c r="F11" i="13"/>
  <c r="F12" i="13"/>
  <c r="F13" i="13"/>
  <c r="G9" i="13"/>
  <c r="G10" i="13"/>
  <c r="G11" i="13"/>
  <c r="G12" i="13"/>
  <c r="G13" i="13"/>
  <c r="M7" i="13"/>
  <c r="C13" i="13"/>
  <c r="C9" i="13"/>
  <c r="D9" i="13"/>
  <c r="E9" i="13" s="1"/>
  <c r="C10" i="13"/>
  <c r="D10" i="13"/>
  <c r="E10" i="13"/>
  <c r="C11" i="13"/>
  <c r="D11" i="13"/>
  <c r="E11" i="13" s="1"/>
  <c r="C12" i="13"/>
  <c r="D12" i="13"/>
  <c r="E12" i="13" s="1"/>
  <c r="D13" i="13"/>
  <c r="E13" i="13"/>
  <c r="C8" i="13"/>
  <c r="E8" i="13"/>
  <c r="R4" i="10"/>
  <c r="D109" i="10"/>
  <c r="T2" i="10" l="1"/>
  <c r="W6" i="10"/>
  <c r="W5" i="10"/>
  <c r="U4" i="10"/>
  <c r="U8" i="10"/>
  <c r="U7" i="10"/>
  <c r="U6" i="10"/>
  <c r="U5" i="10"/>
  <c r="V4" i="10"/>
  <c r="V8" i="10"/>
  <c r="V7" i="10"/>
  <c r="W4" i="10"/>
  <c r="V6" i="10"/>
  <c r="W8" i="10"/>
  <c r="V5" i="10"/>
  <c r="W7" i="10"/>
  <c r="E4" i="13"/>
  <c r="D5" i="13"/>
  <c r="E5" i="13" s="1"/>
  <c r="E110" i="10"/>
  <c r="E109" i="10" s="1"/>
  <c r="B3" i="12"/>
  <c r="M14" i="10"/>
  <c r="M15" i="10"/>
  <c r="N105" i="10"/>
  <c r="O105" i="10"/>
  <c r="D50" i="10"/>
  <c r="D68" i="10"/>
  <c r="H15" i="10"/>
  <c r="F15" i="10" s="1"/>
  <c r="G15" i="10" s="1"/>
  <c r="H14" i="10"/>
  <c r="F14" i="10" s="1"/>
  <c r="G14" i="10" s="1"/>
  <c r="D16" i="10"/>
  <c r="D3" i="12"/>
  <c r="E3" i="12" s="1"/>
  <c r="D6" i="12"/>
  <c r="E6" i="12" s="1"/>
  <c r="V9" i="10" l="1"/>
  <c r="X5" i="10"/>
  <c r="X7" i="10"/>
  <c r="X8" i="10"/>
  <c r="X6" i="10"/>
  <c r="X4" i="10"/>
  <c r="W9" i="10"/>
  <c r="C11" i="12"/>
  <c r="G5" i="13"/>
  <c r="H14" i="2" s="1"/>
  <c r="R9" i="10"/>
  <c r="B6" i="12" s="1"/>
  <c r="D4" i="12"/>
  <c r="D119" i="10"/>
  <c r="N119" i="10" s="1"/>
  <c r="N80" i="10"/>
  <c r="N68" i="10"/>
  <c r="D24" i="10"/>
  <c r="N24" i="10" s="1"/>
  <c r="N50" i="10"/>
  <c r="N5" i="10"/>
  <c r="D4" i="13"/>
  <c r="H8" i="2" s="1"/>
  <c r="D5" i="12"/>
  <c r="D2" i="12"/>
  <c r="H112" i="10"/>
  <c r="F112" i="10" s="1"/>
  <c r="G112" i="10" s="1"/>
  <c r="H113" i="10"/>
  <c r="F113" i="10" s="1"/>
  <c r="G113" i="10" s="1"/>
  <c r="H114" i="10"/>
  <c r="F114" i="10" s="1"/>
  <c r="G114" i="10" s="1"/>
  <c r="H115" i="10"/>
  <c r="F115" i="10" s="1"/>
  <c r="G115" i="10" s="1"/>
  <c r="H116" i="10"/>
  <c r="F116" i="10" s="1"/>
  <c r="G116" i="10" s="1"/>
  <c r="H117" i="10"/>
  <c r="F117" i="10" s="1"/>
  <c r="G117" i="10" s="1"/>
  <c r="H118" i="10"/>
  <c r="F118" i="10" s="1"/>
  <c r="G118" i="10" s="1"/>
  <c r="H119" i="10"/>
  <c r="F119" i="10" s="1"/>
  <c r="G119" i="10" s="1"/>
  <c r="H120" i="10"/>
  <c r="F120" i="10" s="1"/>
  <c r="G120" i="10" s="1"/>
  <c r="H121" i="10"/>
  <c r="F121" i="10" s="1"/>
  <c r="G121" i="10" s="1"/>
  <c r="H122" i="10"/>
  <c r="F122" i="10" s="1"/>
  <c r="G122" i="10" s="1"/>
  <c r="H123" i="10"/>
  <c r="F123" i="10" s="1"/>
  <c r="G123" i="10" s="1"/>
  <c r="H111" i="10"/>
  <c r="H107" i="10"/>
  <c r="F107" i="10" s="1"/>
  <c r="G107" i="10" s="1"/>
  <c r="H108" i="10"/>
  <c r="F108" i="10" s="1"/>
  <c r="G108" i="10" s="1"/>
  <c r="H106" i="10"/>
  <c r="H88" i="10"/>
  <c r="F88" i="10" s="1"/>
  <c r="G88" i="10" s="1"/>
  <c r="H89" i="10"/>
  <c r="F89" i="10" s="1"/>
  <c r="G89" i="10" s="1"/>
  <c r="H90" i="10"/>
  <c r="F90" i="10" s="1"/>
  <c r="G90" i="10" s="1"/>
  <c r="H91" i="10"/>
  <c r="F91" i="10" s="1"/>
  <c r="G91" i="10" s="1"/>
  <c r="H92" i="10"/>
  <c r="F92" i="10" s="1"/>
  <c r="G92" i="10" s="1"/>
  <c r="H93" i="10"/>
  <c r="F93" i="10" s="1"/>
  <c r="G93" i="10" s="1"/>
  <c r="H94" i="10"/>
  <c r="F94" i="10" s="1"/>
  <c r="G94" i="10" s="1"/>
  <c r="H95" i="10"/>
  <c r="F95" i="10" s="1"/>
  <c r="G95" i="10" s="1"/>
  <c r="H96" i="10"/>
  <c r="F96" i="10" s="1"/>
  <c r="G96" i="10" s="1"/>
  <c r="H97" i="10"/>
  <c r="F97" i="10" s="1"/>
  <c r="G97" i="10" s="1"/>
  <c r="H98" i="10"/>
  <c r="F98" i="10" s="1"/>
  <c r="G98" i="10" s="1"/>
  <c r="H99" i="10"/>
  <c r="F99" i="10" s="1"/>
  <c r="G99" i="10" s="1"/>
  <c r="H100" i="10"/>
  <c r="F100" i="10" s="1"/>
  <c r="G100" i="10" s="1"/>
  <c r="H101" i="10"/>
  <c r="F101" i="10" s="1"/>
  <c r="G101" i="10" s="1"/>
  <c r="H102" i="10"/>
  <c r="F102" i="10" s="1"/>
  <c r="G102" i="10" s="1"/>
  <c r="H103" i="10"/>
  <c r="F103" i="10" s="1"/>
  <c r="G103" i="10" s="1"/>
  <c r="H104" i="10"/>
  <c r="F104" i="10" s="1"/>
  <c r="G104" i="10" s="1"/>
  <c r="H87" i="10"/>
  <c r="H80" i="10"/>
  <c r="F80" i="10" s="1"/>
  <c r="G80" i="10" s="1"/>
  <c r="H77" i="10"/>
  <c r="F77" i="10" s="1"/>
  <c r="G77" i="10" s="1"/>
  <c r="H78" i="10"/>
  <c r="F78" i="10" s="1"/>
  <c r="G78" i="10" s="1"/>
  <c r="H79" i="10"/>
  <c r="F79" i="10" s="1"/>
  <c r="G79" i="10" s="1"/>
  <c r="H81" i="10"/>
  <c r="F81" i="10" s="1"/>
  <c r="G81" i="10" s="1"/>
  <c r="H82" i="10"/>
  <c r="F82" i="10" s="1"/>
  <c r="G82" i="10" s="1"/>
  <c r="H83" i="10"/>
  <c r="F83" i="10" s="1"/>
  <c r="G83" i="10" s="1"/>
  <c r="H76" i="10"/>
  <c r="H59" i="10"/>
  <c r="F59" i="10" s="1"/>
  <c r="G59" i="10" s="1"/>
  <c r="H60" i="10"/>
  <c r="F60" i="10" s="1"/>
  <c r="G60" i="10" s="1"/>
  <c r="H61" i="10"/>
  <c r="F61" i="10" s="1"/>
  <c r="G61" i="10" s="1"/>
  <c r="H62" i="10"/>
  <c r="F62" i="10" s="1"/>
  <c r="G62" i="10" s="1"/>
  <c r="H63" i="10"/>
  <c r="F63" i="10" s="1"/>
  <c r="G63" i="10" s="1"/>
  <c r="H64" i="10"/>
  <c r="F64" i="10" s="1"/>
  <c r="G64" i="10" s="1"/>
  <c r="H65" i="10"/>
  <c r="F65" i="10" s="1"/>
  <c r="G65" i="10" s="1"/>
  <c r="H66" i="10"/>
  <c r="F66" i="10" s="1"/>
  <c r="G66" i="10" s="1"/>
  <c r="H67" i="10"/>
  <c r="F67" i="10" s="1"/>
  <c r="G67" i="10" s="1"/>
  <c r="H68" i="10"/>
  <c r="F68" i="10" s="1"/>
  <c r="G68" i="10" s="1"/>
  <c r="H69" i="10"/>
  <c r="F69" i="10" s="1"/>
  <c r="G69" i="10" s="1"/>
  <c r="H70" i="10"/>
  <c r="F70" i="10" s="1"/>
  <c r="G70" i="10" s="1"/>
  <c r="H71" i="10"/>
  <c r="F71" i="10" s="1"/>
  <c r="G71" i="10" s="1"/>
  <c r="H72" i="10"/>
  <c r="F72" i="10" s="1"/>
  <c r="G72" i="10" s="1"/>
  <c r="H73" i="10"/>
  <c r="F73" i="10" s="1"/>
  <c r="G73" i="10" s="1"/>
  <c r="H74" i="10"/>
  <c r="F74" i="10" s="1"/>
  <c r="G74" i="10" s="1"/>
  <c r="H58" i="10"/>
  <c r="H44" i="10"/>
  <c r="F44" i="10" s="1"/>
  <c r="G44" i="10" s="1"/>
  <c r="H45" i="10"/>
  <c r="F45" i="10" s="1"/>
  <c r="G45" i="10" s="1"/>
  <c r="H46" i="10"/>
  <c r="F46" i="10" s="1"/>
  <c r="G46" i="10" s="1"/>
  <c r="H47" i="10"/>
  <c r="F47" i="10" s="1"/>
  <c r="G47" i="10" s="1"/>
  <c r="H48" i="10"/>
  <c r="F48" i="10" s="1"/>
  <c r="G48" i="10" s="1"/>
  <c r="H49" i="10"/>
  <c r="F49" i="10" s="1"/>
  <c r="G49" i="10" s="1"/>
  <c r="H50" i="10"/>
  <c r="F50" i="10" s="1"/>
  <c r="G50" i="10" s="1"/>
  <c r="H51" i="10"/>
  <c r="F51" i="10" s="1"/>
  <c r="G51" i="10" s="1"/>
  <c r="H52" i="10"/>
  <c r="F52" i="10" s="1"/>
  <c r="G52" i="10" s="1"/>
  <c r="H53" i="10"/>
  <c r="F53" i="10" s="1"/>
  <c r="G53" i="10" s="1"/>
  <c r="H54" i="10"/>
  <c r="F54" i="10" s="1"/>
  <c r="G54" i="10" s="1"/>
  <c r="H43" i="10"/>
  <c r="H33" i="10"/>
  <c r="F33" i="10" s="1"/>
  <c r="G33" i="10" s="1"/>
  <c r="H34" i="10"/>
  <c r="F34" i="10" s="1"/>
  <c r="G34" i="10" s="1"/>
  <c r="H35" i="10"/>
  <c r="F35" i="10" s="1"/>
  <c r="G35" i="10" s="1"/>
  <c r="H36" i="10"/>
  <c r="F36" i="10" s="1"/>
  <c r="G36" i="10" s="1"/>
  <c r="H37" i="10"/>
  <c r="F37" i="10" s="1"/>
  <c r="G37" i="10" s="1"/>
  <c r="H38" i="10"/>
  <c r="F38" i="10" s="1"/>
  <c r="G38" i="10" s="1"/>
  <c r="H39" i="10"/>
  <c r="F39" i="10" s="1"/>
  <c r="G39" i="10" s="1"/>
  <c r="H40" i="10"/>
  <c r="F40" i="10" s="1"/>
  <c r="G40" i="10" s="1"/>
  <c r="H41" i="10"/>
  <c r="F41" i="10" s="1"/>
  <c r="G41" i="10" s="1"/>
  <c r="H32" i="10"/>
  <c r="H18" i="10"/>
  <c r="F18" i="10" s="1"/>
  <c r="G18" i="10" s="1"/>
  <c r="H19" i="10"/>
  <c r="F19" i="10" s="1"/>
  <c r="G19" i="10" s="1"/>
  <c r="H20" i="10"/>
  <c r="F20" i="10" s="1"/>
  <c r="G20" i="10" s="1"/>
  <c r="H21" i="10"/>
  <c r="F21" i="10" s="1"/>
  <c r="G21" i="10" s="1"/>
  <c r="H22" i="10"/>
  <c r="F22" i="10" s="1"/>
  <c r="G22" i="10" s="1"/>
  <c r="H23" i="10"/>
  <c r="F23" i="10" s="1"/>
  <c r="G23" i="10" s="1"/>
  <c r="H24" i="10"/>
  <c r="F24" i="10" s="1"/>
  <c r="G24" i="10" s="1"/>
  <c r="H25" i="10"/>
  <c r="F25" i="10" s="1"/>
  <c r="G25" i="10" s="1"/>
  <c r="H26" i="10"/>
  <c r="F26" i="10" s="1"/>
  <c r="G26" i="10" s="1"/>
  <c r="H27" i="10"/>
  <c r="F27" i="10" s="1"/>
  <c r="G27" i="10" s="1"/>
  <c r="H28" i="10"/>
  <c r="F28" i="10" s="1"/>
  <c r="G28" i="10" s="1"/>
  <c r="H17" i="10"/>
  <c r="H6" i="10"/>
  <c r="F6" i="10" s="1"/>
  <c r="G6" i="10" s="1"/>
  <c r="H7" i="10"/>
  <c r="F7" i="10" s="1"/>
  <c r="G7" i="10" s="1"/>
  <c r="H8" i="10"/>
  <c r="F8" i="10" s="1"/>
  <c r="G8" i="10" s="1"/>
  <c r="H9" i="10"/>
  <c r="H10" i="10"/>
  <c r="F10" i="10" s="1"/>
  <c r="G10" i="10" s="1"/>
  <c r="H11" i="10"/>
  <c r="F11" i="10" s="1"/>
  <c r="G11" i="10" s="1"/>
  <c r="H12" i="10"/>
  <c r="F12" i="10" s="1"/>
  <c r="G12" i="10" s="1"/>
  <c r="H13" i="10"/>
  <c r="F13" i="10" s="1"/>
  <c r="G13" i="10" s="1"/>
  <c r="G5" i="10"/>
  <c r="X9" i="10" l="1"/>
  <c r="Y8" i="10"/>
  <c r="F9" i="10"/>
  <c r="G9" i="10" s="1"/>
  <c r="Y6" i="10"/>
  <c r="F106" i="10"/>
  <c r="G106" i="10" s="1"/>
  <c r="G105" i="10" s="1"/>
  <c r="H105" i="10"/>
  <c r="F76" i="10"/>
  <c r="G76" i="10" s="1"/>
  <c r="G75" i="10" s="1"/>
  <c r="H75" i="10"/>
  <c r="F58" i="10"/>
  <c r="G58" i="10" s="1"/>
  <c r="H57" i="10"/>
  <c r="H55" i="10" s="1"/>
  <c r="F111" i="10"/>
  <c r="G111" i="10" s="1"/>
  <c r="G109" i="10" s="1"/>
  <c r="H109" i="10"/>
  <c r="F43" i="10"/>
  <c r="G43" i="10" s="1"/>
  <c r="G42" i="10" s="1"/>
  <c r="G29" i="10" s="1"/>
  <c r="H42" i="10"/>
  <c r="F87" i="10"/>
  <c r="G87" i="10" s="1"/>
  <c r="G86" i="10" s="1"/>
  <c r="H86" i="10"/>
  <c r="F17" i="10"/>
  <c r="G17" i="10" s="1"/>
  <c r="G16" i="10" s="1"/>
  <c r="H16" i="10"/>
  <c r="F32" i="10"/>
  <c r="G32" i="10" s="1"/>
  <c r="G31" i="10" s="1"/>
  <c r="H31" i="10"/>
  <c r="H4" i="10"/>
  <c r="H2" i="10" s="1"/>
  <c r="G57" i="10"/>
  <c r="G55" i="10" s="1"/>
  <c r="F16" i="10"/>
  <c r="F105" i="10"/>
  <c r="F75" i="10"/>
  <c r="F4" i="10" l="1"/>
  <c r="H84" i="10"/>
  <c r="F31" i="10"/>
  <c r="G84" i="10"/>
  <c r="Y5" i="10"/>
  <c r="G4" i="10"/>
  <c r="Y7" i="10"/>
  <c r="F42" i="10"/>
  <c r="F29" i="10" s="1"/>
  <c r="H29" i="10"/>
  <c r="F57" i="10"/>
  <c r="F55" i="10" s="1"/>
  <c r="F86" i="10"/>
  <c r="F84" i="10" s="1"/>
  <c r="F109" i="10"/>
  <c r="F2" i="10"/>
  <c r="M3" i="10"/>
  <c r="M5" i="10"/>
  <c r="M6" i="10"/>
  <c r="M7" i="10"/>
  <c r="M8" i="10"/>
  <c r="M9" i="10"/>
  <c r="M10" i="10"/>
  <c r="M11" i="10"/>
  <c r="M12" i="10"/>
  <c r="M13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30" i="10"/>
  <c r="M32" i="10"/>
  <c r="M33" i="10"/>
  <c r="M34" i="10"/>
  <c r="M35" i="10"/>
  <c r="M36" i="10"/>
  <c r="M37" i="10"/>
  <c r="M38" i="10"/>
  <c r="M39" i="10"/>
  <c r="M40" i="10"/>
  <c r="M41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6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6" i="10"/>
  <c r="M77" i="10"/>
  <c r="M78" i="10"/>
  <c r="M79" i="10"/>
  <c r="M80" i="10"/>
  <c r="M81" i="10"/>
  <c r="M82" i="10"/>
  <c r="M83" i="10"/>
  <c r="M85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6" i="10"/>
  <c r="M107" i="10"/>
  <c r="M108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O68" i="10"/>
  <c r="O5" i="10"/>
  <c r="O119" i="10"/>
  <c r="N88" i="10"/>
  <c r="O88" i="10" s="1"/>
  <c r="O80" i="10"/>
  <c r="O50" i="10"/>
  <c r="N32" i="10"/>
  <c r="O32" i="10" s="1"/>
  <c r="O24" i="10"/>
  <c r="R7" i="10" l="1"/>
  <c r="D3" i="14" s="1"/>
  <c r="M105" i="10"/>
  <c r="M75" i="10"/>
  <c r="M4" i="10"/>
  <c r="M86" i="10"/>
  <c r="M31" i="10"/>
  <c r="B14" i="9"/>
  <c r="M57" i="10"/>
  <c r="M16" i="10"/>
  <c r="M109" i="10"/>
  <c r="M42" i="10"/>
  <c r="H4" i="2"/>
  <c r="R5" i="10"/>
  <c r="B5" i="12" s="1"/>
  <c r="G6" i="1"/>
  <c r="G7" i="1"/>
  <c r="G5" i="1"/>
  <c r="K2" i="11"/>
  <c r="K11" i="11"/>
  <c r="K5" i="11"/>
  <c r="M29" i="10" l="1"/>
  <c r="M84" i="10"/>
  <c r="M55" i="10"/>
  <c r="F6" i="12"/>
  <c r="H11" i="2" s="1"/>
  <c r="D4" i="14"/>
  <c r="D2" i="14"/>
  <c r="E3" i="14"/>
  <c r="D5" i="14"/>
  <c r="D6" i="14"/>
  <c r="B22" i="8"/>
  <c r="C22" i="8" s="1"/>
  <c r="C12" i="8"/>
  <c r="D12" i="8" s="1"/>
  <c r="E12" i="8" s="1"/>
  <c r="M22" i="8" s="1"/>
  <c r="C13" i="8"/>
  <c r="D13" i="8" s="1"/>
  <c r="C14" i="8"/>
  <c r="D14" i="8" s="1"/>
  <c r="J11" i="11"/>
  <c r="I11" i="11"/>
  <c r="H11" i="11"/>
  <c r="I8" i="11"/>
  <c r="J8" i="11" s="1"/>
  <c r="H5" i="11"/>
  <c r="I5" i="11" s="1"/>
  <c r="J5" i="11" s="1"/>
  <c r="C13" i="11"/>
  <c r="F5" i="11"/>
  <c r="G5" i="11" s="1"/>
  <c r="F2" i="11"/>
  <c r="G2" i="11" s="1"/>
  <c r="H2" i="11" s="1"/>
  <c r="I2" i="11" s="1"/>
  <c r="E4" i="11"/>
  <c r="B9" i="11"/>
  <c r="C8" i="11"/>
  <c r="C9" i="11" s="1"/>
  <c r="D8" i="11"/>
  <c r="L2" i="11" l="1"/>
  <c r="M2" i="11" s="1"/>
  <c r="N2" i="11" s="1"/>
  <c r="J2" i="11"/>
  <c r="F4" i="11"/>
  <c r="G4" i="11" s="1"/>
  <c r="H4" i="11" s="1"/>
  <c r="I4" i="11" s="1"/>
  <c r="J4" i="11" s="1"/>
  <c r="K4" i="11"/>
  <c r="L5" i="11"/>
  <c r="M5" i="11" s="1"/>
  <c r="N5" i="11" s="1"/>
  <c r="L4" i="11"/>
  <c r="M4" i="11" s="1"/>
  <c r="N4" i="11" s="1"/>
  <c r="D9" i="11"/>
  <c r="E105" i="10"/>
  <c r="D105" i="10"/>
  <c r="E75" i="10"/>
  <c r="D75" i="10"/>
  <c r="E42" i="10"/>
  <c r="D42" i="10"/>
  <c r="E16" i="10"/>
  <c r="E2" i="10" s="1"/>
  <c r="M2" i="10" s="1"/>
  <c r="R10" i="10" s="1"/>
  <c r="E86" i="10"/>
  <c r="D86" i="10"/>
  <c r="E57" i="10"/>
  <c r="D57" i="10"/>
  <c r="E31" i="10"/>
  <c r="D31" i="10"/>
  <c r="D4" i="10"/>
  <c r="D2" i="10" s="1"/>
  <c r="M110" i="10"/>
  <c r="E29" i="10" l="1"/>
  <c r="E55" i="10"/>
  <c r="E84" i="10"/>
  <c r="D55" i="10"/>
  <c r="D84" i="10"/>
  <c r="D29" i="10"/>
  <c r="R3" i="10" l="1"/>
  <c r="R6" i="10" s="1"/>
  <c r="B2" i="12" s="1"/>
  <c r="K15" i="8"/>
  <c r="L14" i="8"/>
  <c r="N14" i="8" s="1"/>
  <c r="L13" i="8"/>
  <c r="N13" i="8" s="1"/>
  <c r="L12" i="8"/>
  <c r="N12" i="8" s="1"/>
  <c r="L11" i="8"/>
  <c r="N11" i="8" s="1"/>
  <c r="L10" i="8"/>
  <c r="L15" i="8" s="1"/>
  <c r="B2" i="7"/>
  <c r="D2" i="7"/>
  <c r="R7" i="8"/>
  <c r="S6" i="8"/>
  <c r="T6" i="8" s="1"/>
  <c r="S5" i="8"/>
  <c r="U5" i="8" s="1"/>
  <c r="S4" i="8"/>
  <c r="U4" i="8" s="1"/>
  <c r="S3" i="8"/>
  <c r="U3" i="8" s="1"/>
  <c r="S2" i="8"/>
  <c r="K7" i="8"/>
  <c r="L6" i="8"/>
  <c r="N6" i="8" s="1"/>
  <c r="L5" i="8"/>
  <c r="N5" i="8" s="1"/>
  <c r="L4" i="8"/>
  <c r="N4" i="8" s="1"/>
  <c r="L3" i="8"/>
  <c r="N3" i="8" s="1"/>
  <c r="L2" i="8"/>
  <c r="N2" i="8" s="1"/>
  <c r="D3" i="8"/>
  <c r="D4" i="8"/>
  <c r="F4" i="8" s="1"/>
  <c r="D5" i="8"/>
  <c r="E5" i="8" s="1"/>
  <c r="D6" i="8"/>
  <c r="E6" i="8" s="1"/>
  <c r="D2" i="8"/>
  <c r="E2" i="8" s="1"/>
  <c r="C7" i="8"/>
  <c r="E13" i="8"/>
  <c r="E14" i="8"/>
  <c r="C11" i="8"/>
  <c r="D11" i="8" s="1"/>
  <c r="E11" i="8" s="1"/>
  <c r="M21" i="8" s="1"/>
  <c r="F7" i="1"/>
  <c r="C7" i="1"/>
  <c r="F5" i="1"/>
  <c r="F6" i="1"/>
  <c r="C6" i="1"/>
  <c r="C5" i="1"/>
  <c r="C4" i="1"/>
  <c r="C3" i="1"/>
  <c r="C2" i="1"/>
  <c r="F14" i="8" l="1"/>
  <c r="B24" i="8" s="1"/>
  <c r="C24" i="8" s="1"/>
  <c r="M24" i="8"/>
  <c r="M12" i="8"/>
  <c r="F13" i="8"/>
  <c r="B23" i="8" s="1"/>
  <c r="C23" i="8" s="1"/>
  <c r="M23" i="8"/>
  <c r="F3" i="12"/>
  <c r="H12" i="2" s="1"/>
  <c r="N15" i="8"/>
  <c r="M15" i="8"/>
  <c r="M13" i="8"/>
  <c r="M10" i="8"/>
  <c r="M14" i="8"/>
  <c r="N10" i="8"/>
  <c r="M11" i="8"/>
  <c r="S7" i="8"/>
  <c r="U7" i="8" s="1"/>
  <c r="D7" i="8"/>
  <c r="F2" i="7" s="1"/>
  <c r="H2" i="7" s="1"/>
  <c r="G2" i="7" s="1"/>
  <c r="C15" i="8"/>
  <c r="F6" i="8"/>
  <c r="F5" i="8"/>
  <c r="T4" i="8"/>
  <c r="T2" i="8"/>
  <c r="U2" i="8"/>
  <c r="U6" i="8"/>
  <c r="T5" i="8"/>
  <c r="T3" i="8"/>
  <c r="M3" i="8"/>
  <c r="L7" i="8"/>
  <c r="M4" i="8"/>
  <c r="M5" i="8"/>
  <c r="M2" i="8"/>
  <c r="M6" i="8"/>
  <c r="E4" i="8"/>
  <c r="F2" i="8"/>
  <c r="E3" i="8"/>
  <c r="F3" i="8"/>
  <c r="E15" i="8" l="1"/>
  <c r="F11" i="8"/>
  <c r="B21" i="8" s="1"/>
  <c r="C21" i="8" s="1"/>
  <c r="C25" i="8" s="1"/>
  <c r="T7" i="8"/>
  <c r="N7" i="8"/>
  <c r="M7" i="8"/>
  <c r="E7" i="8"/>
  <c r="F7" i="8"/>
  <c r="G3" i="10"/>
  <c r="J7" i="1"/>
  <c r="G56" i="10"/>
  <c r="G110" i="10"/>
  <c r="G85" i="10"/>
  <c r="G2" i="10"/>
  <c r="G30" i="10"/>
  <c r="J6" i="1" l="1"/>
  <c r="Y4" i="10"/>
  <c r="Y9" i="10" s="1"/>
  <c r="E2" i="2"/>
  <c r="E1" i="2" s="1"/>
  <c r="M25" i="8"/>
  <c r="J5" i="1"/>
  <c r="L5" i="1"/>
  <c r="I5" i="1"/>
  <c r="I6" i="1"/>
  <c r="E2" i="12"/>
  <c r="E4" i="12"/>
  <c r="F4" i="12" s="1"/>
  <c r="H3" i="2" s="1"/>
  <c r="E5" i="12"/>
  <c r="C2" i="14"/>
  <c r="E2" i="14" s="1"/>
  <c r="H5" i="2" s="1"/>
  <c r="C4" i="14"/>
  <c r="E4" i="14" s="1"/>
  <c r="C5" i="14"/>
  <c r="E5" i="14" s="1"/>
  <c r="I7" i="1"/>
  <c r="C6" i="14"/>
  <c r="E6" i="14" s="1"/>
  <c r="F2" i="12" l="1"/>
  <c r="H10" i="2" s="1"/>
  <c r="F5" i="12"/>
  <c r="H9" i="2" s="1"/>
  <c r="H5" i="1" l="1"/>
  <c r="H6" i="1"/>
  <c r="H7" i="1"/>
  <c r="H2" i="2" s="1"/>
  <c r="F8" i="12"/>
  <c r="B16" i="9" s="1"/>
  <c r="I12" i="2" l="1"/>
  <c r="B15" i="9"/>
  <c r="I3" i="2" l="1"/>
  <c r="I7" i="2"/>
  <c r="F2" i="9"/>
  <c r="I6" i="2"/>
  <c r="B13" i="2"/>
  <c r="B4" i="15" s="1"/>
  <c r="I2" i="2"/>
  <c r="B10" i="2"/>
  <c r="E7" i="15" s="1"/>
  <c r="F7" i="15" s="1"/>
  <c r="G7" i="15" s="1"/>
  <c r="I10" i="2"/>
  <c r="I11" i="2"/>
  <c r="I9" i="2"/>
  <c r="I8" i="2"/>
  <c r="I4" i="2"/>
  <c r="B9" i="2"/>
  <c r="E4" i="15" s="1"/>
  <c r="F4" i="15" s="1"/>
  <c r="G4" i="15" s="1"/>
  <c r="B13" i="9"/>
  <c r="I5" i="2"/>
  <c r="G2" i="9"/>
  <c r="I14" i="2" l="1"/>
  <c r="F3" i="9"/>
  <c r="F4" i="9" s="1"/>
  <c r="F5" i="9" s="1"/>
  <c r="F6" i="9" s="1"/>
  <c r="F7" i="9" s="1"/>
  <c r="F8" i="9" s="1"/>
  <c r="D2" i="9"/>
  <c r="D8" i="9" s="1"/>
  <c r="G3" i="9"/>
  <c r="G4" i="9"/>
  <c r="G7" i="9" s="1"/>
  <c r="B17" i="9"/>
  <c r="B19" i="9"/>
  <c r="B18" i="9"/>
  <c r="F9" i="9" l="1"/>
  <c r="E2" i="9"/>
  <c r="E7" i="9" s="1"/>
  <c r="D7" i="9"/>
  <c r="G6" i="9"/>
  <c r="G5" i="9" s="1"/>
  <c r="G9" i="9" s="1"/>
  <c r="G8" i="9"/>
  <c r="C4" i="9"/>
  <c r="B4" i="9"/>
  <c r="D4" i="9" s="1"/>
  <c r="B3" i="9"/>
  <c r="D3" i="9" s="1"/>
  <c r="C5" i="9"/>
  <c r="C6" i="9"/>
  <c r="B5" i="9"/>
  <c r="D5" i="9" s="1"/>
  <c r="B6" i="9"/>
  <c r="D6" i="9" s="1"/>
  <c r="C3" i="9"/>
  <c r="D9" i="9" l="1"/>
  <c r="B2" i="2" s="1"/>
  <c r="E8" i="9"/>
  <c r="E6" i="9"/>
  <c r="E5" i="9"/>
  <c r="E4" i="9"/>
  <c r="E3" i="9"/>
  <c r="C9" i="9"/>
  <c r="B9" i="9"/>
  <c r="B11" i="2" l="1"/>
  <c r="B2" i="15" s="1"/>
  <c r="B7" i="2"/>
  <c r="E2" i="15" s="1"/>
  <c r="F2" i="15" s="1"/>
  <c r="G2" i="15" s="1"/>
  <c r="E9" i="9"/>
  <c r="E6" i="15" s="1"/>
  <c r="F6" i="15" s="1"/>
  <c r="G6" i="15" s="1"/>
  <c r="E5" i="15"/>
  <c r="F5" i="15" s="1"/>
  <c r="G5" i="15" s="1"/>
  <c r="B3" i="2" l="1"/>
  <c r="B12" i="2"/>
  <c r="B3" i="15" s="1"/>
  <c r="E10" i="9"/>
  <c r="B8" i="2" l="1"/>
  <c r="E3" i="15" s="1"/>
  <c r="F3" i="15" s="1"/>
  <c r="G3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tc={37AA11CB-78D2-41BE-8552-C51C61CF065E}</author>
    <author>tc={CC078E7C-60B1-49B1-90E8-4EFA684BC596}</author>
  </authors>
  <commentList>
    <comment ref="C2" authorId="0" shapeId="0" xr:uid="{37AA11CB-78D2-41BE-8552-C51C61CF065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https://ricoman.com/news/office-lighting-lux-levels/</t>
      </text>
    </comment>
    <comment ref="B5" authorId="1" shapeId="0" xr:uid="{CC078E7C-60B1-49B1-90E8-4EFA684BC5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https://mountlighting.co.uk/product/aura/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tc={407FA5EB-260A-41C0-9B3B-5455A2013717}</author>
  </authors>
  <commentList>
    <comment ref="D6" authorId="0" shapeId="0" xr:uid="{407FA5EB-260A-41C0-9B3B-5455A2013717}">
      <text>
        <t>[Threaded comment]
Your version of Excel allows you to read this threaded comment; however, any edits to it will get removed if the file is opened in a newer version of Excel. Learn more: https://go.microsoft.com/fwlink/?linkid=870924
Comment:
    Curtis Auditorium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<sst xmlns="http://schemas.openxmlformats.org/spreadsheetml/2006/main" count="526" uniqueCount="277">
  <si>
    <t>Constants</t>
  </si>
  <si>
    <t>Energy IN</t>
  </si>
  <si>
    <t>Energy OUT</t>
  </si>
  <si>
    <t>Realistic best</t>
  </si>
  <si>
    <t>Solar</t>
  </si>
  <si>
    <t>Lights</t>
  </si>
  <si>
    <t>Realistic worst</t>
  </si>
  <si>
    <t>Desktops</t>
  </si>
  <si>
    <t>Daily Hours (whole Building</t>
  </si>
  <si>
    <t>Lifts</t>
  </si>
  <si>
    <t>Daily Hours (Office Computers)</t>
  </si>
  <si>
    <t>Cooking</t>
  </si>
  <si>
    <t>Working Days</t>
  </si>
  <si>
    <t>Heating</t>
  </si>
  <si>
    <t>Carbon Emmissions Best Case Energy Savings (Tonnes of CO2)</t>
  </si>
  <si>
    <t>Café</t>
  </si>
  <si>
    <t>Carbon Emmissions Worst Case Energy Savings (Tonnes of CO2)</t>
  </si>
  <si>
    <t>Pump</t>
  </si>
  <si>
    <t>Carbon No Energy Savings (Tonnes of CO2)</t>
  </si>
  <si>
    <t>Big Screens</t>
  </si>
  <si>
    <t>Carbon Emissions No Solar (Tonnes of CO2)</t>
  </si>
  <si>
    <t>Laptops</t>
  </si>
  <si>
    <t>Energy Use covered by Solar Best Case</t>
  </si>
  <si>
    <t>Printers</t>
  </si>
  <si>
    <t>Energy Use covered by Solar Worst Case</t>
  </si>
  <si>
    <t>Monitors</t>
  </si>
  <si>
    <t>Energy Use Covered Energy Savings</t>
  </si>
  <si>
    <t>Ventilation</t>
  </si>
  <si>
    <t>EV</t>
  </si>
  <si>
    <t xml:space="preserve">Energy Demand Type </t>
  </si>
  <si>
    <t>Percentage Energy Demand</t>
  </si>
  <si>
    <t>Energy Demand kWh/year</t>
  </si>
  <si>
    <t>Office Equipment</t>
  </si>
  <si>
    <t>Heating and Ventilation</t>
  </si>
  <si>
    <t>Breakroom Equipment</t>
  </si>
  <si>
    <t>Lighting</t>
  </si>
  <si>
    <t>Other</t>
  </si>
  <si>
    <t>Total</t>
  </si>
  <si>
    <t>-</t>
  </si>
  <si>
    <t>Scenario Type</t>
  </si>
  <si>
    <t>Energy Use covered by Solar Energy (%)</t>
  </si>
  <si>
    <t>Carbon Emissions (Tonnes of CO2/Year)</t>
  </si>
  <si>
    <t>Trees required for offset</t>
  </si>
  <si>
    <t>Energy Savings Best Case</t>
  </si>
  <si>
    <t>Best Case Energy Savings + Solar</t>
  </si>
  <si>
    <t>Energy Savings Worst Case</t>
  </si>
  <si>
    <t>Worst Case Energy Savings + Solar</t>
  </si>
  <si>
    <t>No Energy Savings</t>
  </si>
  <si>
    <t xml:space="preserve"> No Energy Savings + Solar</t>
  </si>
  <si>
    <t>Best Case Energy Savings</t>
  </si>
  <si>
    <t>Worst Case Energy Savings</t>
  </si>
  <si>
    <t xml:space="preserve"> No Energy Savings</t>
  </si>
  <si>
    <t>Type</t>
  </si>
  <si>
    <t>KWH</t>
  </si>
  <si>
    <t>KWH/Year</t>
  </si>
  <si>
    <t>amount</t>
  </si>
  <si>
    <t>Total energy for building</t>
  </si>
  <si>
    <t>Hot water dispenser</t>
  </si>
  <si>
    <t>Fridge</t>
  </si>
  <si>
    <t>Water fount</t>
  </si>
  <si>
    <t>Dishwasher</t>
  </si>
  <si>
    <t>Microwave</t>
  </si>
  <si>
    <t>Total Energy</t>
  </si>
  <si>
    <t>Energy saving Idea</t>
  </si>
  <si>
    <t>Max Energy Savings</t>
  </si>
  <si>
    <t>Min Energy savings</t>
  </si>
  <si>
    <t>Reductions Max</t>
  </si>
  <si>
    <t>Redcutions Min</t>
  </si>
  <si>
    <t>Realistic Best Case (KWH/Year)</t>
  </si>
  <si>
    <t>Realistic Worst Case (KW/m2/Day)</t>
  </si>
  <si>
    <t>Baseline</t>
  </si>
  <si>
    <t xml:space="preserve">Roof Insulation </t>
  </si>
  <si>
    <t xml:space="preserve">Automatic Lighting Best Case </t>
  </si>
  <si>
    <t xml:space="preserve">Pipe work Insulation </t>
  </si>
  <si>
    <t xml:space="preserve">Boiler Sequence Controls </t>
  </si>
  <si>
    <t>Student Awareness</t>
  </si>
  <si>
    <t xml:space="preserve">Staff Awareness </t>
  </si>
  <si>
    <t>Final</t>
  </si>
  <si>
    <t>Screens</t>
  </si>
  <si>
    <t>Heating percent</t>
  </si>
  <si>
    <t>Lighting percent</t>
  </si>
  <si>
    <t>Screens percent</t>
  </si>
  <si>
    <t>Type of lighting</t>
  </si>
  <si>
    <t>LUX levels</t>
  </si>
  <si>
    <t>Lights per sq foot</t>
  </si>
  <si>
    <t>Cost per light</t>
  </si>
  <si>
    <t>Watts</t>
  </si>
  <si>
    <t>Electricity use per day (KJ)</t>
  </si>
  <si>
    <t xml:space="preserve">KWH/day per light </t>
  </si>
  <si>
    <t>KWH/Year building</t>
  </si>
  <si>
    <t>KWH/year per light</t>
  </si>
  <si>
    <t>Electricity use for building</t>
  </si>
  <si>
    <t>Cost per unit per day</t>
  </si>
  <si>
    <t>Electrical cost per day</t>
  </si>
  <si>
    <t>Overcast Daylight</t>
  </si>
  <si>
    <t>Sunset/Sunrise</t>
  </si>
  <si>
    <t>Moonlight</t>
  </si>
  <si>
    <t>Overhead lights</t>
  </si>
  <si>
    <t>Spotlight</t>
  </si>
  <si>
    <t>LED tube</t>
  </si>
  <si>
    <t>Amount</t>
  </si>
  <si>
    <t>Energy Use kw</t>
  </si>
  <si>
    <t>KWH/Year Tot</t>
  </si>
  <si>
    <t>Laptop (half of population + office workers)</t>
  </si>
  <si>
    <t>Monitor (2* office workers)</t>
  </si>
  <si>
    <t>Desktop (Computer Cluster Only)</t>
  </si>
  <si>
    <t>Bigscreen (Lecture Theater + Meeting rooms)</t>
  </si>
  <si>
    <t>Printers (1 in Every Office Space + 2*Library)</t>
  </si>
  <si>
    <t>Amount of lifts</t>
  </si>
  <si>
    <t>Max KWH/day</t>
  </si>
  <si>
    <t>Max KWH/year</t>
  </si>
  <si>
    <t>Lifts KWH year</t>
  </si>
  <si>
    <t>Lift</t>
  </si>
  <si>
    <t>KW</t>
  </si>
  <si>
    <t>h</t>
  </si>
  <si>
    <t>KWH/day</t>
  </si>
  <si>
    <t>Final KWH/Year</t>
  </si>
  <si>
    <t>EV Chargers</t>
  </si>
  <si>
    <t>Cost to offset</t>
  </si>
  <si>
    <t>per tonne</t>
  </si>
  <si>
    <t>Time Till Full charge</t>
  </si>
  <si>
    <t>CO2 Emissions KG</t>
  </si>
  <si>
    <t>CO2 Emissions Tonne</t>
  </si>
  <si>
    <t>Cost/hour 
in offsetting</t>
  </si>
  <si>
    <t>Cost/hour in power</t>
  </si>
  <si>
    <t>Cost/hour</t>
  </si>
  <si>
    <t>Cost of electricity</t>
  </si>
  <si>
    <t>per mwh</t>
  </si>
  <si>
    <t>per kwh</t>
  </si>
  <si>
    <t>EV COST</t>
  </si>
  <si>
    <t>Area</t>
  </si>
  <si>
    <t>kwp</t>
  </si>
  <si>
    <t>KPW produced</t>
  </si>
  <si>
    <t>cost m2</t>
  </si>
  <si>
    <t>Items required</t>
  </si>
  <si>
    <t>cost</t>
  </si>
  <si>
    <t>area</t>
  </si>
  <si>
    <t>ECO WORTHY</t>
  </si>
  <si>
    <t>1kwp</t>
  </si>
  <si>
    <t>6m2</t>
  </si>
  <si>
    <t>790 kwh</t>
  </si>
  <si>
    <t>146 kwh/m2.day</t>
  </si>
  <si>
    <t>250 units at 60kg each</t>
  </si>
  <si>
    <t>Floor</t>
  </si>
  <si>
    <t>KWH per m2 day</t>
  </si>
  <si>
    <t>m2</t>
  </si>
  <si>
    <t>kwh/year</t>
  </si>
  <si>
    <t>units needed</t>
  </si>
  <si>
    <t>MWH/year</t>
  </si>
  <si>
    <t>Gronud</t>
  </si>
  <si>
    <t>Roof area</t>
  </si>
  <si>
    <t>KG</t>
  </si>
  <si>
    <t>Power</t>
  </si>
  <si>
    <t>Orientation</t>
  </si>
  <si>
    <t>Roof Area</t>
  </si>
  <si>
    <t>Amount of Solar Pannels</t>
  </si>
  <si>
    <t>TOT</t>
  </si>
  <si>
    <t>Ground Floor</t>
  </si>
  <si>
    <t>Recommended Sizing</t>
  </si>
  <si>
    <t>People</t>
  </si>
  <si>
    <t xml:space="preserve">total size </t>
  </si>
  <si>
    <t>Lumems</t>
  </si>
  <si>
    <t>Lights required</t>
  </si>
  <si>
    <t>Lux Levels</t>
  </si>
  <si>
    <t>Room Type</t>
  </si>
  <si>
    <t>Computers</t>
  </si>
  <si>
    <t>Canteens</t>
  </si>
  <si>
    <t>Canteens trunc</t>
  </si>
  <si>
    <t xml:space="preserve">total area </t>
  </si>
  <si>
    <t xml:space="preserve">Atrium </t>
  </si>
  <si>
    <t>N/A</t>
  </si>
  <si>
    <t>Living room</t>
  </si>
  <si>
    <t>Total Pop</t>
  </si>
  <si>
    <t>ACEDEMIC/PUBLIC</t>
  </si>
  <si>
    <t>Office Laptops</t>
  </si>
  <si>
    <t>Library</t>
  </si>
  <si>
    <t>Office</t>
  </si>
  <si>
    <t>Lecture Theatre</t>
  </si>
  <si>
    <t>Population Using Laptop (Not office)</t>
  </si>
  <si>
    <t>Bike Storage</t>
  </si>
  <si>
    <t>Warehouse</t>
  </si>
  <si>
    <t>Changing/Shower rooms</t>
  </si>
  <si>
    <t>Bathroom</t>
  </si>
  <si>
    <t>Heating energy per sq m</t>
  </si>
  <si>
    <t>Toilet Block 2</t>
  </si>
  <si>
    <t>Stair well CC</t>
  </si>
  <si>
    <t>Stair</t>
  </si>
  <si>
    <t>Total Heating</t>
  </si>
  <si>
    <t>Heating0</t>
  </si>
  <si>
    <t>Cooling</t>
  </si>
  <si>
    <t>lift shaft</t>
  </si>
  <si>
    <t>utilities</t>
  </si>
  <si>
    <t>Water tank</t>
  </si>
  <si>
    <t>COMMERCIAL</t>
  </si>
  <si>
    <t>Office 1</t>
  </si>
  <si>
    <t>Office 2</t>
  </si>
  <si>
    <t>Office 3</t>
  </si>
  <si>
    <t>Office 4</t>
  </si>
  <si>
    <t>Office 5</t>
  </si>
  <si>
    <t>Office 6</t>
  </si>
  <si>
    <t>meeting room</t>
  </si>
  <si>
    <t>break room</t>
  </si>
  <si>
    <t>toilet block 1</t>
  </si>
  <si>
    <t>First Floor</t>
  </si>
  <si>
    <t>Computer Cluster</t>
  </si>
  <si>
    <t>Seminar Room</t>
  </si>
  <si>
    <t xml:space="preserve">Toilet Block </t>
  </si>
  <si>
    <t>Office 7</t>
  </si>
  <si>
    <t>Office 8</t>
  </si>
  <si>
    <t>Office 9</t>
  </si>
  <si>
    <t>Office 10</t>
  </si>
  <si>
    <t>Office 11</t>
  </si>
  <si>
    <t>Office 12</t>
  </si>
  <si>
    <t xml:space="preserve">toilet block </t>
  </si>
  <si>
    <t>Second Floor</t>
  </si>
  <si>
    <t>ACEDEMIC OFFICES</t>
  </si>
  <si>
    <t>Exhibition Space</t>
  </si>
  <si>
    <t>meeting room 1</t>
  </si>
  <si>
    <t>meeting room 2</t>
  </si>
  <si>
    <t>office A1</t>
  </si>
  <si>
    <t>office A2</t>
  </si>
  <si>
    <t>office A3</t>
  </si>
  <si>
    <t>office A4</t>
  </si>
  <si>
    <t>office A5</t>
  </si>
  <si>
    <t>office A6</t>
  </si>
  <si>
    <t>office A7</t>
  </si>
  <si>
    <t>Multi faith room</t>
  </si>
  <si>
    <t>Toilet block</t>
  </si>
  <si>
    <t>Office 13</t>
  </si>
  <si>
    <t>Office 14</t>
  </si>
  <si>
    <t>Office 15</t>
  </si>
  <si>
    <t>Conference Room</t>
  </si>
  <si>
    <t>Break room</t>
  </si>
  <si>
    <t>Third Floor</t>
  </si>
  <si>
    <t>AGEING DEVELOPMENT</t>
  </si>
  <si>
    <t>Reception</t>
  </si>
  <si>
    <t>Staff Break Room</t>
  </si>
  <si>
    <t>Nurse Station</t>
  </si>
  <si>
    <t>Screening Room 1</t>
  </si>
  <si>
    <t>Screening Room 2</t>
  </si>
  <si>
    <t>Screening Room 3</t>
  </si>
  <si>
    <t>Exercise/Movement Studio</t>
  </si>
  <si>
    <t>Activities/Craft Room</t>
  </si>
  <si>
    <t>Music Therapy Room</t>
  </si>
  <si>
    <t>Physio-therapy room</t>
  </si>
  <si>
    <t>Massage Treatment Room</t>
  </si>
  <si>
    <t>Storage Room</t>
  </si>
  <si>
    <t>Hydraulic Lift Shaft (3-4)</t>
  </si>
  <si>
    <t>Lift shaft</t>
  </si>
  <si>
    <t>PUBLIC CAFE</t>
  </si>
  <si>
    <t>Cafe</t>
  </si>
  <si>
    <t>Lift Shaft</t>
  </si>
  <si>
    <t>Fourth Floor</t>
  </si>
  <si>
    <t>R+D</t>
  </si>
  <si>
    <t>Primary Lab</t>
  </si>
  <si>
    <t>Secondary Lab</t>
  </si>
  <si>
    <t>Tertiary Lab</t>
  </si>
  <si>
    <t>Storage</t>
  </si>
  <si>
    <t>Break Room</t>
  </si>
  <si>
    <t>Toilet Block</t>
  </si>
  <si>
    <t>Stair Well CC</t>
  </si>
  <si>
    <t>Corridora</t>
  </si>
  <si>
    <t>G</t>
  </si>
  <si>
    <t>Roof Are</t>
  </si>
  <si>
    <t>Outside Dimention</t>
  </si>
  <si>
    <t>Solar pannel area</t>
  </si>
  <si>
    <t>degrees</t>
  </si>
  <si>
    <t>Inside area</t>
  </si>
  <si>
    <t>average rad</t>
  </si>
  <si>
    <t>tang</t>
  </si>
  <si>
    <t>reduce tang</t>
  </si>
  <si>
    <t>reduce deg</t>
  </si>
  <si>
    <t>rad</t>
  </si>
  <si>
    <t>act</t>
  </si>
  <si>
    <t>Angle from 180</t>
  </si>
  <si>
    <t>pi()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</si>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</sst>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-[$£-809]* #,##0.00_-;\-[$£-809]* #,##0.00_-;_-[$£-809]* &quot;-&quot;??_-;_-@_-"/>
    <numFmt numFmtId="165" formatCode="0.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1" applyFont="1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2" fillId="6" borderId="1" xfId="0" applyFont="1" applyFill="1" applyBorder="1"/>
    <xf numFmtId="0" fontId="2" fillId="0" borderId="0" xfId="0" applyFont="1"/>
    <xf numFmtId="0" fontId="0" fillId="0" borderId="0" xfId="0" applyAlignment="1">
      <alignment wrapText="1"/>
    </xf>
    <xf numFmtId="0" fontId="4" fillId="6" borderId="1" xfId="0" applyFont="1" applyFill="1" applyBorder="1"/>
    <xf numFmtId="44" fontId="0" fillId="0" borderId="0" xfId="0" applyNumberFormat="1"/>
    <xf numFmtId="9" fontId="0" fillId="0" borderId="0" xfId="2" applyFont="1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0" xfId="0" quotePrefix="1"/>
    <xf numFmtId="0" fontId="6" fillId="0" borderId="0" xfId="0" applyFont="1"/>
    <xf numFmtId="0" fontId="0" fillId="7" borderId="0" xfId="0" applyFill="1"/>
    <xf numFmtId="9" fontId="0" fillId="7" borderId="0" xfId="2" applyFont="1" applyFill="1"/>
    <xf numFmtId="164" fontId="0" fillId="0" borderId="0" xfId="0" applyNumberFormat="1"/>
    <xf numFmtId="165" fontId="0" fillId="0" borderId="0" xfId="0" applyNumberFormat="1"/>
    <xf numFmtId="1" fontId="0" fillId="0" borderId="0" xfId="2" applyNumberFormat="1" applyFont="1"/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 cent" xfId="2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</a:t>
            </a:r>
            <a:r>
              <a:rPr lang="en-US" baseline="0"/>
              <a:t> Demand (KWH/Year)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7E-4FE1-9340-DC70FC76C9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7E-4FE1-9340-DC70FC76C9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7E-4FE1-9340-DC70FC76C9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7E-4FE1-9340-DC70FC76C9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7E-4FE1-9340-DC70FC76C9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7E-4FE1-9340-DC70FC76C9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7E-4FE1-9340-DC70FC76C9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37E-4FE1-9340-DC70FC76C9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04-4DA8-937F-E51B554792B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194-4D01-987E-D5976792FB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194-4D01-987E-D5976792FB63}"/>
              </c:ext>
            </c:extLst>
          </c:dPt>
          <c:dLbls>
            <c:dLbl>
              <c:idx val="8"/>
              <c:layout>
                <c:manualLayout>
                  <c:x val="2.8231537255376124E-2"/>
                  <c:y val="1.151434645702316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04-4DA8-937F-E51B554792B0}"/>
                </c:ext>
              </c:extLst>
            </c:dLbl>
            <c:dLbl>
              <c:idx val="10"/>
              <c:layout>
                <c:manualLayout>
                  <c:x val="3.6623310529497008E-2"/>
                  <c:y val="-4.340504999531646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194-4D01-987E-D5976792FB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Summary!$G$2:$G$12</c:f>
              <c:strCache>
                <c:ptCount val="11"/>
                <c:pt idx="0">
                  <c:v>Lights</c:v>
                </c:pt>
                <c:pt idx="1">
                  <c:v>Desktops</c:v>
                </c:pt>
                <c:pt idx="2">
                  <c:v>Lifts</c:v>
                </c:pt>
                <c:pt idx="3">
                  <c:v>Cooking</c:v>
                </c:pt>
                <c:pt idx="4">
                  <c:v>Heating</c:v>
                </c:pt>
                <c:pt idx="5">
                  <c:v>Café</c:v>
                </c:pt>
                <c:pt idx="6">
                  <c:v>Pump</c:v>
                </c:pt>
                <c:pt idx="7">
                  <c:v>Big Screens</c:v>
                </c:pt>
                <c:pt idx="8">
                  <c:v>Laptops</c:v>
                </c:pt>
                <c:pt idx="9">
                  <c:v>Printers</c:v>
                </c:pt>
                <c:pt idx="10">
                  <c:v>Monitors</c:v>
                </c:pt>
              </c:strCache>
            </c:strRef>
          </c:cat>
          <c:val>
            <c:numRef>
              <c:f>Summary!$H$2:$H$12</c:f>
              <c:numCache>
                <c:formatCode>General</c:formatCode>
                <c:ptCount val="11"/>
                <c:pt idx="0">
                  <c:v>51048</c:v>
                </c:pt>
                <c:pt idx="1">
                  <c:v>34080</c:v>
                </c:pt>
                <c:pt idx="2">
                  <c:v>5475</c:v>
                </c:pt>
                <c:pt idx="3">
                  <c:v>51350</c:v>
                </c:pt>
                <c:pt idx="4">
                  <c:v>78515</c:v>
                </c:pt>
                <c:pt idx="5">
                  <c:v>25000</c:v>
                </c:pt>
                <c:pt idx="6">
                  <c:v>14280</c:v>
                </c:pt>
                <c:pt idx="7">
                  <c:v>10584</c:v>
                </c:pt>
                <c:pt idx="8">
                  <c:v>95040</c:v>
                </c:pt>
                <c:pt idx="9">
                  <c:v>5544</c:v>
                </c:pt>
                <c:pt idx="10">
                  <c:v>23760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4-4DA8-937F-E51B554792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Energy</a:t>
            </a:r>
            <a:r>
              <a:rPr lang="en-GB" baseline="0"/>
              <a:t> Demand Types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45-4B2E-B811-75B1252600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45-4B2E-B811-75B1252600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45-4B2E-B811-75B1252600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45-4B2E-B811-75B1252600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45-4B2E-B811-75B1252600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45-4B2E-B811-75B1252600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45-4B2E-B811-75B1252600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45-4B2E-B811-75B1252600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45-4B2E-B811-75B12526005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B45-4B2E-B811-75B12526005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B45-4B2E-B811-75B1252600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Summary!$G$2:$G$12</c:f>
              <c:strCache>
                <c:ptCount val="11"/>
                <c:pt idx="0">
                  <c:v>Lights</c:v>
                </c:pt>
                <c:pt idx="1">
                  <c:v>Desktops</c:v>
                </c:pt>
                <c:pt idx="2">
                  <c:v>Lifts</c:v>
                </c:pt>
                <c:pt idx="3">
                  <c:v>Cooking</c:v>
                </c:pt>
                <c:pt idx="4">
                  <c:v>Heating</c:v>
                </c:pt>
                <c:pt idx="5">
                  <c:v>Café</c:v>
                </c:pt>
                <c:pt idx="6">
                  <c:v>Pump</c:v>
                </c:pt>
                <c:pt idx="7">
                  <c:v>Big Screens</c:v>
                </c:pt>
                <c:pt idx="8">
                  <c:v>Laptops</c:v>
                </c:pt>
                <c:pt idx="9">
                  <c:v>Printers</c:v>
                </c:pt>
                <c:pt idx="10">
                  <c:v>Monitors</c:v>
                </c:pt>
              </c:strCache>
            </c:strRef>
          </c:cat>
          <c:val>
            <c:numRef>
              <c:f>Summary!$I$2:$I$12</c:f>
              <c:numCache>
                <c:formatCode>0%</c:formatCode>
                <c:ptCount val="11"/>
                <c:pt idx="0">
                  <c:v>0.12934153584205779</c:v>
                </c:pt>
                <c:pt idx="1">
                  <c:v>8.6349309306874497E-2</c:v>
                </c:pt>
                <c:pt idx="2">
                  <c:v>1.3872138158894891E-2</c:v>
                </c:pt>
                <c:pt idx="3">
                  <c:v>0.13010672044917856</c:v>
                </c:pt>
                <c:pt idx="4">
                  <c:v>0.19893532923207896</c:v>
                </c:pt>
                <c:pt idx="5">
                  <c:v>6.3343096615958411E-2</c:v>
                </c:pt>
                <c:pt idx="6">
                  <c:v>3.6181576787035444E-2</c:v>
                </c:pt>
                <c:pt idx="7">
                  <c:v>2.6816933383332152E-2</c:v>
                </c:pt>
                <c:pt idx="8">
                  <c:v>0.24080511609522748</c:v>
                </c:pt>
                <c:pt idx="9">
                  <c:v>1.4046965105554936E-2</c:v>
                </c:pt>
                <c:pt idx="10">
                  <c:v>6.020127902380687E-2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B-4449-B74F-BBBB8E4C157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Use covered by Solar Energy by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Energy Use covered by Solar Energy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Graphs!$A$2:$A$4</c:f>
              <c:strCache>
                <c:ptCount val="3"/>
                <c:pt idx="0">
                  <c:v>Energy Savings Best Case</c:v>
                </c:pt>
                <c:pt idx="1">
                  <c:v>Energy Savings Worst Case</c:v>
                </c:pt>
                <c:pt idx="2">
                  <c:v>No Energy Savings</c:v>
                </c:pt>
              </c:strCache>
            </c:strRef>
          </c:cat>
          <c:val>
            <c:numRef>
              <c:f>Graphs!$B$2:$B$4</c:f>
              <c:numCache>
                <c:formatCode>0%</c:formatCode>
                <c:ptCount val="3"/>
                <c:pt idx="0">
                  <c:v>1.1816649309450611</c:v>
                </c:pt>
                <c:pt idx="1">
                  <c:v>0.75059166572604996</c:v>
                </c:pt>
                <c:pt idx="2">
                  <c:v>0.71101955781451109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3-4F99-85F3-8372214CD9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6988271"/>
        <c:axId val="1229704255"/>
      </c:barChart>
      <c:catAx>
        <c:axId val="1336988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Scenario</a:t>
                </a:r>
                <a:r>
                  <a:rPr lang="en-GB" baseline="0"/>
                  <a:t> Type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704255"/>
        <c:crosses val="autoZero"/>
        <c:auto val="1"/>
        <c:lblAlgn val="ctr"/>
        <c:lblOffset val="100"/>
        <c:noMultiLvlLbl val="0"/>
      </c:catAx>
      <c:valAx>
        <c:axId val="122970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Energy Use covered by Solar Energy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8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Carbon Emissions by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Graphs!$E$1</c:f>
              <c:strCache>
                <c:ptCount val="1"/>
                <c:pt idx="0">
                  <c:v>Carbon Emissions (Tonnes of CO2/Year)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Graphs!$D$2:$D$7</c:f>
              <c:strCache>
                <c:ptCount val="6"/>
                <c:pt idx="0">
                  <c:v>Best Case Energy Savings + Solar</c:v>
                </c:pt>
                <c:pt idx="1">
                  <c:v>Worst Case Energy Savings + Solar</c:v>
                </c:pt>
                <c:pt idx="2">
                  <c:v> No Energy Savings + Solar</c:v>
                </c:pt>
                <c:pt idx="3">
                  <c:v>Best Case Energy Savings</c:v>
                </c:pt>
                <c:pt idx="4">
                  <c:v>Worst Case Energy Savings</c:v>
                </c:pt>
                <c:pt idx="5">
                  <c:v> No Energy Savings</c:v>
                </c:pt>
              </c:strCache>
            </c:strRef>
          </c:cat>
          <c:val>
            <c:numRef>
              <c:f>Graphs!$E$2:$E$7</c:f>
              <c:numCache>
                <c:formatCode>General</c:formatCode>
                <c:ptCount val="6"/>
                <c:pt idx="0">
                  <c:v>0</c:v>
                </c:pt>
                <c:pt idx="1">
                  <c:v>21.7</c:v>
                </c:pt>
                <c:pt idx="2">
                  <c:v>26.6</c:v>
                </c:pt>
                <c:pt idx="3">
                  <c:v>55.3</c:v>
                </c:pt>
                <c:pt idx="4">
                  <c:v>87.1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D-4CF6-8F9B-F37A24C520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2318527"/>
        <c:axId val="1272319007"/>
      </c:barChart>
      <c:catAx>
        <c:axId val="1272318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Scenario</a:t>
                </a:r>
                <a:r>
                  <a:rPr lang="en-GB" baseline="0"/>
                  <a:t> Type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19007"/>
        <c:crosses val="autoZero"/>
        <c:auto val="1"/>
        <c:lblAlgn val="ctr"/>
        <c:lblOffset val="100"/>
        <c:noMultiLvlLbl val="0"/>
      </c:catAx>
      <c:valAx>
        <c:axId val="127231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Carbon Emissions (Tonnes of CO2/Year)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1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 Energy Reductions Per Saving Type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6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1-95F7-4F59-8EF4-34F618D14917}"/>
            </c:ext>
          </c:extLst>
        </c:ser>
        <c:ser>
          <c:idx val="17"/>
          <c:order val="1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2-95F7-4F59-8EF4-34F618D14917}"/>
            </c:ext>
          </c:extLst>
        </c:ser>
        <c:ser>
          <c:idx val="18"/>
          <c:order val="2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3-95F7-4F59-8EF4-34F618D14917}"/>
            </c:ext>
          </c:extLst>
        </c:ser>
        <c:ser>
          <c:idx val="19"/>
          <c:order val="3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4-95F7-4F59-8EF4-34F618D14917}"/>
            </c:ext>
          </c:extLst>
        </c:ser>
        <c:ser>
          <c:idx val="20"/>
          <c:order val="4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5-95F7-4F59-8EF4-34F618D14917}"/>
            </c:ext>
          </c:extLst>
        </c:ser>
        <c:ser>
          <c:idx val="21"/>
          <c:order val="5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6-95F7-4F59-8EF4-34F618D14917}"/>
            </c:ext>
          </c:extLst>
        </c:ser>
        <c:ser>
          <c:idx val="22"/>
          <c:order val="6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7-95F7-4F59-8EF4-34F618D14917}"/>
            </c:ext>
          </c:extLst>
        </c:ser>
        <c:ser>
          <c:idx val="23"/>
          <c:order val="7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8-95F7-4F59-8EF4-34F618D14917}"/>
            </c:ext>
          </c:extLst>
        </c:ser>
        <c:ser>
          <c:idx val="24"/>
          <c:order val="8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9-95F7-4F59-8EF4-34F618D14917}"/>
            </c:ext>
          </c:extLst>
        </c:ser>
        <c:ser>
          <c:idx val="25"/>
          <c:order val="9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A-95F7-4F59-8EF4-34F618D14917}"/>
            </c:ext>
          </c:extLst>
        </c:ser>
        <c:ser>
          <c:idx val="26"/>
          <c:order val="1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B-95F7-4F59-8EF4-34F618D14917}"/>
            </c:ext>
          </c:extLst>
        </c:ser>
        <c:ser>
          <c:idx val="27"/>
          <c:order val="11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C-95F7-4F59-8EF4-34F618D14917}"/>
            </c:ext>
          </c:extLst>
        </c:ser>
        <c:ser>
          <c:idx val="28"/>
          <c:order val="12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D-95F7-4F59-8EF4-34F618D14917}"/>
            </c:ext>
          </c:extLst>
        </c:ser>
        <c:ser>
          <c:idx val="29"/>
          <c:order val="13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E-95F7-4F59-8EF4-34F618D14917}"/>
            </c:ext>
          </c:extLst>
        </c:ser>
        <c:ser>
          <c:idx val="30"/>
          <c:order val="14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F-95F7-4F59-8EF4-34F618D14917}"/>
            </c:ext>
          </c:extLst>
        </c:ser>
        <c:ser>
          <c:idx val="31"/>
          <c:order val="15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0-95F7-4F59-8EF4-34F618D14917}"/>
            </c:ext>
          </c:extLst>
        </c:ser>
        <c:ser>
          <c:idx val="8"/>
          <c:order val="16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3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5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7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9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B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D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E-95F7-4F59-8EF4-34F618D14917}"/>
            </c:ext>
          </c:extLst>
        </c:ser>
        <c:ser>
          <c:idx val="9"/>
          <c:order val="17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1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3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5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7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9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B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C-95F7-4F59-8EF4-34F618D14917}"/>
            </c:ext>
          </c:extLst>
        </c:ser>
        <c:ser>
          <c:idx val="10"/>
          <c:order val="18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F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1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3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5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7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9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A-95F7-4F59-8EF4-34F618D14917}"/>
            </c:ext>
          </c:extLst>
        </c:ser>
        <c:ser>
          <c:idx val="11"/>
          <c:order val="19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D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F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1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3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5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7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8-95F7-4F59-8EF4-34F618D14917}"/>
            </c:ext>
          </c:extLst>
        </c:ser>
        <c:ser>
          <c:idx val="12"/>
          <c:order val="2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B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D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F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1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3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5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6-95F7-4F59-8EF4-34F618D14917}"/>
            </c:ext>
          </c:extLst>
        </c:ser>
        <c:ser>
          <c:idx val="13"/>
          <c:order val="2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9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B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D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F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1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3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4-95F7-4F59-8EF4-34F618D14917}"/>
            </c:ext>
          </c:extLst>
        </c:ser>
        <c:ser>
          <c:idx val="14"/>
          <c:order val="2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7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9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B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D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F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1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2-95F7-4F59-8EF4-34F618D14917}"/>
            </c:ext>
          </c:extLst>
        </c:ser>
        <c:ser>
          <c:idx val="15"/>
          <c:order val="2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5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7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9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B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D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F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0-95F7-4F59-8EF4-34F618D14917}"/>
            </c:ext>
          </c:extLst>
        </c:ser>
        <c:ser>
          <c:idx val="4"/>
          <c:order val="2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3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5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7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9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B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D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E-95F7-4F59-8EF4-34F618D14917}"/>
            </c:ext>
          </c:extLst>
        </c:ser>
        <c:ser>
          <c:idx val="5"/>
          <c:order val="2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1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3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5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7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9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B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C-95F7-4F59-8EF4-34F618D14917}"/>
            </c:ext>
          </c:extLst>
        </c:ser>
        <c:ser>
          <c:idx val="6"/>
          <c:order val="26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F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1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3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5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7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9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A-95F7-4F59-8EF4-34F618D14917}"/>
            </c:ext>
          </c:extLst>
        </c:ser>
        <c:ser>
          <c:idx val="7"/>
          <c:order val="27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D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F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1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3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5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7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8-95F7-4F59-8EF4-34F618D14917}"/>
            </c:ext>
          </c:extLst>
        </c:ser>
        <c:ser>
          <c:idx val="2"/>
          <c:order val="28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B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D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F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1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3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5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6-95F7-4F59-8EF4-34F618D14917}"/>
            </c:ext>
          </c:extLst>
        </c:ser>
        <c:ser>
          <c:idx val="3"/>
          <c:order val="29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9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B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D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F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1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3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4-95F7-4F59-8EF4-34F618D14917}"/>
            </c:ext>
          </c:extLst>
        </c:ser>
        <c:ser>
          <c:idx val="1"/>
          <c:order val="3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7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9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B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D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F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1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2-95F7-4F59-8EF4-34F618D14917}"/>
            </c:ext>
          </c:extLst>
        </c:ser>
        <c:ser>
          <c:idx val="0"/>
          <c:order val="3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5-95F7-4F59-8EF4-34F618D149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7-95F7-4F59-8EF4-34F618D149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9-95F7-4F59-8EF4-34F618D149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B-95F7-4F59-8EF4-34F618D149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D-95F7-4F59-8EF4-34F618D149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F-95F7-4F59-8EF4-34F618D14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Savings!$D$3:$D$8</c:f>
              <c:numCache>
                <c:formatCode>General</c:formatCode>
                <c:ptCount val="6"/>
                <c:pt idx="0">
                  <c:v>27480.249999999996</c:v>
                </c:pt>
                <c:pt idx="1">
                  <c:v>17866.8</c:v>
                </c:pt>
                <c:pt idx="2">
                  <c:v>27480.249999999996</c:v>
                </c:pt>
                <c:pt idx="3">
                  <c:v>17273.3</c:v>
                </c:pt>
                <c:pt idx="4">
                  <c:v>39467.600000000006</c:v>
                </c:pt>
                <c:pt idx="5">
                  <c:v>27627.320000000003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0-95F7-4F59-8EF4-34F618D149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Minimum Energy Reductions Per Saving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41-45A8-B459-42FF3131BD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41-45A8-B459-42FF3131BD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41-45A8-B459-42FF3131BD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41-45A8-B459-42FF3131BD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41-45A8-B459-42FF3131BD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41-45A8-B459-42FF3131BD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Savings!$A$3:$A$8</c:f>
              <c:strCache>
                <c:ptCount val="6"/>
                <c:pt idx="0">
                  <c:v>Roof Insulation </c:v>
                </c:pt>
                <c:pt idx="1">
                  <c:v>Automatic Lighting Best Case </c:v>
                </c:pt>
                <c:pt idx="2">
                  <c:v>Pipe work Insulation </c:v>
                </c:pt>
                <c:pt idx="3">
                  <c:v>Boiler Sequence Controls </c:v>
                </c:pt>
                <c:pt idx="4">
                  <c:v>Student Awareness</c:v>
                </c:pt>
                <c:pt idx="5">
                  <c:v>Staff Awareness </c:v>
                </c:pt>
              </c:strCache>
            </c:strRef>
          </c:cat>
          <c:val>
            <c:numRef>
              <c:f>Savings!$E$3:$E$8</c:f>
              <c:numCache>
                <c:formatCode>General</c:formatCode>
                <c:ptCount val="6"/>
                <c:pt idx="0">
                  <c:v>7851.5</c:v>
                </c:pt>
                <c:pt idx="1">
                  <c:v>5104.8</c:v>
                </c:pt>
                <c:pt idx="2">
                  <c:v>3925.75</c:v>
                </c:pt>
                <c:pt idx="3">
                  <c:v>3925.75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3-4725-9054-FF1354D691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</a:t>
            </a:r>
            <a:r>
              <a:rPr lang="en-GB" baseline="0"/>
              <a:t> of Energy Savings Types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Savings!$B$1</c:f>
              <c:strCache>
                <c:ptCount val="1"/>
                <c:pt idx="0">
                  <c:v>Max Energy Savings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Savings!$A$2:$A$8</c:f>
              <c:strCache>
                <c:ptCount val="7"/>
                <c:pt idx="0">
                  <c:v>Baseline</c:v>
                </c:pt>
                <c:pt idx="1">
                  <c:v>Roof Insulation </c:v>
                </c:pt>
                <c:pt idx="2">
                  <c:v>Automatic Lighting Best Case </c:v>
                </c:pt>
                <c:pt idx="3">
                  <c:v>Pipe work Insulation </c:v>
                </c:pt>
                <c:pt idx="4">
                  <c:v>Boiler Sequence Controls </c:v>
                </c:pt>
                <c:pt idx="5">
                  <c:v>Student Awareness</c:v>
                </c:pt>
                <c:pt idx="6">
                  <c:v>Staff Awareness </c:v>
                </c:pt>
              </c:strCache>
            </c:strRef>
          </c:cat>
          <c:val>
            <c:numRef>
              <c:f>Savings!$B$2:$B$8</c:f>
              <c:numCache>
                <c:formatCode>0%</c:formatCode>
                <c:ptCount val="7"/>
                <c:pt idx="1">
                  <c:v>6.9627365231227631E-2</c:v>
                </c:pt>
                <c:pt idx="2">
                  <c:v>4.5269537544720226E-2</c:v>
                </c:pt>
                <c:pt idx="3">
                  <c:v>6.9627365231227631E-2</c:v>
                </c:pt>
                <c:pt idx="4">
                  <c:v>4.3765772431057372E-2</c:v>
                </c:pt>
                <c:pt idx="5">
                  <c:v>0.1</c:v>
                </c:pt>
                <c:pt idx="6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9-4D5D-A70A-65E1B7D8DCB6}"/>
            </c:ext>
          </c:extLst>
        </c:ser>
        <c:ser>
          <c:idx val="1"/>
          <c:order val="1"/>
          <c:tx>
            <c:strRef>
              <c:f>Savings!$C$1</c:f>
              <c:strCache>
                <c:ptCount val="1"/>
                <c:pt idx="0">
                  <c:v>Min Energy savings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Savings!$A$2:$A$8</c:f>
              <c:strCache>
                <c:ptCount val="7"/>
                <c:pt idx="0">
                  <c:v>Baseline</c:v>
                </c:pt>
                <c:pt idx="1">
                  <c:v>Roof Insulation </c:v>
                </c:pt>
                <c:pt idx="2">
                  <c:v>Automatic Lighting Best Case </c:v>
                </c:pt>
                <c:pt idx="3">
                  <c:v>Pipe work Insulation </c:v>
                </c:pt>
                <c:pt idx="4">
                  <c:v>Boiler Sequence Controls </c:v>
                </c:pt>
                <c:pt idx="5">
                  <c:v>Student Awareness</c:v>
                </c:pt>
                <c:pt idx="6">
                  <c:v>Staff Awareness </c:v>
                </c:pt>
              </c:strCache>
            </c:strRef>
          </c:cat>
          <c:val>
            <c:numRef>
              <c:f>Savings!$C$2:$C$8</c:f>
              <c:numCache>
                <c:formatCode>0%</c:formatCode>
                <c:ptCount val="7"/>
                <c:pt idx="1">
                  <c:v>1.9893532923207898E-2</c:v>
                </c:pt>
                <c:pt idx="2">
                  <c:v>1.293415358420578E-2</c:v>
                </c:pt>
                <c:pt idx="3">
                  <c:v>9.9467664616039488E-3</c:v>
                </c:pt>
                <c:pt idx="4">
                  <c:v>9.9467664616039488E-3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B9-4D5D-A70A-65E1B7D8D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8796479"/>
        <c:axId val="1388792159"/>
      </c:barChart>
      <c:catAx>
        <c:axId val="138879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Saving</a:t>
                </a:r>
                <a:r>
                  <a:rPr lang="en-GB" baseline="0"/>
                  <a:t>s Type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92159"/>
        <c:crosses val="autoZero"/>
        <c:auto val="1"/>
        <c:lblAlgn val="ctr"/>
        <c:lblOffset val="100"/>
        <c:noMultiLvlLbl val="0"/>
      </c:catAx>
      <c:valAx>
        <c:axId val="138879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Energy Savings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9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578556</xdr:colOff>
      <xdr:row>2</xdr:row>
      <xdr:rowOff>24864</xdr:rowOff>
    </xdr:from>
    <xdr:to>
      <xdr:col>22</xdr:col>
      <xdr:colOff>247775</xdr:colOff>
      <xdr:row>30</xdr:row>
      <xdr:rowOff>81339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03E1B4-F890-95D8-EC96-777666F34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573062</xdr:colOff>
      <xdr:row>16</xdr:row>
      <xdr:rowOff>65225</xdr:rowOff>
    </xdr:from>
    <xdr:to>
      <xdr:col>11</xdr:col>
      <xdr:colOff>234395</xdr:colOff>
      <xdr:row>30</xdr:row>
      <xdr:rowOff>141424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922CA3B-A08C-01D1-18D5-F8A6EFDEE857}"/>
            </a:ext>
            <a:ext uri="{147F2762-F138-4A5C-976F-8EAC2B608ADB}">
              <a16:predDERef xmlns:a16="http://schemas.microsoft.com/office/drawing/2014/main" pred="{3803E1B4-F890-95D8-EC96-777666F34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272350</xdr:colOff>
      <xdr:row>19</xdr:row>
      <xdr:rowOff>24684</xdr:rowOff>
    </xdr:from>
    <xdr:to>
      <xdr:col>5</xdr:col>
      <xdr:colOff>125798</xdr:colOff>
      <xdr:row>34</xdr:row>
      <xdr:rowOff>24684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C7F86-67B7-AD11-D3D8-7D7816066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7383</xdr:colOff>
      <xdr:row>8</xdr:row>
      <xdr:rowOff>146756</xdr:rowOff>
    </xdr:from>
    <xdr:to>
      <xdr:col>15</xdr:col>
      <xdr:colOff>299827</xdr:colOff>
      <xdr:row>23</xdr:row>
      <xdr:rowOff>126660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474BF3-EA4D-31F7-5CC5-18F7ED22F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270030</xdr:colOff>
      <xdr:row>13</xdr:row>
      <xdr:rowOff>137603</xdr:rowOff>
    </xdr:from>
    <xdr:to>
      <xdr:col>7</xdr:col>
      <xdr:colOff>765700</xdr:colOff>
      <xdr:row>28</xdr:row>
      <xdr:rowOff>106531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57F70D-015E-D7BE-904D-5A3E04598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726865</xdr:colOff>
      <xdr:row>14</xdr:row>
      <xdr:rowOff>58289</xdr:rowOff>
    </xdr:from>
    <xdr:to>
      <xdr:col>14</xdr:col>
      <xdr:colOff>281240</xdr:colOff>
      <xdr:row>29</xdr:row>
      <xdr:rowOff>49743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7A3326-1154-D9D6-C9F2-35F213117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661134</xdr:colOff>
      <xdr:row>4</xdr:row>
      <xdr:rowOff>118347</xdr:rowOff>
    </xdr:from>
    <xdr:to>
      <xdr:col>19</xdr:col>
      <xdr:colOff>118001</xdr:colOff>
      <xdr:row>18</xdr:row>
      <xdr:rowOff>172409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C420F7-A6CF-A780-25F0-DEE6B0868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itlin Shelley (UG)" id="{7960058B-D627-49D9-90E4-C2BAAA49FAE4}" userId="S::c2016498@newcastle.ac.uk::8524fd86-f24b-4890-8c72-f911702febe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08FC4-1B1C-4B87-A79A-44A0283B46B3}" name="Table1" displayName="Table1" ref="A1:C7" totalsRowShown="0">
  <autoFilter ref="A1:C7" xr:uid="{DFE08FC4-1B1C-4B87-A79A-44A0283B46B3}"/>
  <tableColumns count="3">
    <tableColumn id="1" xr3:uid="{0DD43E2F-2FCE-438A-9C12-AB72D5CCF682}" name="Energy Demand Type "/>
    <tableColumn id="2" xr3:uid="{B7072931-647E-4619-B8F8-7B359A6284D6}" name="Percentage Energy Demand" dataDxfId="1">
      <calculatedColumnFormula>(Table1[[#This Row],[Energy Demand kWh/year]]/C$7)</calculatedColumnFormula>
    </tableColumn>
    <tableColumn id="5" xr3:uid="{7B64DB62-B027-4F13-8E63-B980905C1EED}" name="Energy Demand kWh/year" dataDxfId="0">
      <calculatedColumnFormula>SUM(Comps!F2:F6)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2-04T14:53:52.33" personId="{7960058B-D627-49D9-90E4-C2BAAA49FAE4}" id="{37AA11CB-78D2-41BE-8552-C51C61CF065E}">
    <text>https://ricoman.com/news/office-lighting-lux-levels/</text>
    <extLst>
      <x:ext xmlns:xltc2="http://schemas.microsoft.com/office/spreadsheetml/2020/threadedcomments2" uri="{F7C98A9C-CBB3-438F-8F68-D28B6AF4A901}">
        <xltc2:checksum>3496986104</xltc2:checksum>
        <xltc2:hyperlink startIndex="0" length="52" url="https://ricoman.com/news/office-lighting-lux-levels/"/>
      </x:ext>
    </extLst>
  </threadedComment>
  <threadedComment ref="B5" dT="2025-02-04T15:04:24.05" personId="{7960058B-D627-49D9-90E4-C2BAAA49FAE4}" id="{CC078E7C-60B1-49B1-90E8-4EFA684BC596}">
    <text xml:space="preserve">https://mountlighting.co.uk/product/aura/
</text>
    <extLst>
      <x:ext xmlns:xltc2="http://schemas.microsoft.com/office/spreadsheetml/2020/threadedcomments2" uri="{F7C98A9C-CBB3-438F-8F68-D28B6AF4A901}">
        <xltc2:checksum>566914788</xltc2:checksum>
        <xltc2:hyperlink startIndex="0" length="41" url="https://mountlighting.co.uk/product/aura/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5-03-11T11:40:00.14" personId="{7960058B-D627-49D9-90E4-C2BAAA49FAE4}" id="{407FA5EB-260A-41C0-9B3B-5455A2013717}">
    <text>Curtis Auditorium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35D6-DBED-43D2-A7F3-5523799B3142}">
  <dimension ref="A1:I14"/>
  <sheetViews>
    <sheetView zoomScale="141" zoomScaleNormal="141" workbookViewId="0">
      <selection activeCell="K4" sqref="K4"/>
    </sheetView>
  </sheetViews>
  <sheetFormatPr defaultRowHeight="14.45"/>
  <cols>
    <col min="1" max="1" width="34.140625" bestFit="1" customWidth="1"/>
  </cols>
  <sheetData>
    <row r="1" spans="1:9">
      <c r="A1" t="s">
        <v>0</v>
      </c>
      <c r="D1" t="s">
        <v>1</v>
      </c>
      <c r="E1">
        <f>E2</f>
        <v>280622.35499999998</v>
      </c>
      <c r="G1" t="s">
        <v>2</v>
      </c>
      <c r="H1">
        <f>SUM(H2:H13)</f>
        <v>394676</v>
      </c>
    </row>
    <row r="2" spans="1:9">
      <c r="A2" t="s">
        <v>3</v>
      </c>
      <c r="B2">
        <f>E1-Savings!D9</f>
        <v>43141.874999999971</v>
      </c>
      <c r="D2" t="s">
        <v>4</v>
      </c>
      <c r="E2">
        <f>OVERENERGy!H20</f>
        <v>280622.35499999998</v>
      </c>
      <c r="G2" t="s">
        <v>5</v>
      </c>
      <c r="H2">
        <f>Lighting!H7</f>
        <v>51048</v>
      </c>
      <c r="I2" s="13">
        <f>H2/H$1</f>
        <v>0.12934153584205779</v>
      </c>
    </row>
    <row r="3" spans="1:9">
      <c r="A3" t="s">
        <v>6</v>
      </c>
      <c r="B3">
        <f>E1-Savings!E9</f>
        <v>-93245.84500000003</v>
      </c>
      <c r="G3" t="s">
        <v>7</v>
      </c>
      <c r="H3">
        <f>Comps!F4</f>
        <v>34080</v>
      </c>
      <c r="I3" s="13">
        <f t="shared" ref="I3:I13" si="0">H3/H$1</f>
        <v>8.6349309306874497E-2</v>
      </c>
    </row>
    <row r="4" spans="1:9">
      <c r="A4" t="s">
        <v>8</v>
      </c>
      <c r="B4">
        <v>12</v>
      </c>
      <c r="G4" t="s">
        <v>9</v>
      </c>
      <c r="H4">
        <f>Other!E2</f>
        <v>5475</v>
      </c>
      <c r="I4" s="13">
        <f t="shared" si="0"/>
        <v>1.3872138158894891E-2</v>
      </c>
    </row>
    <row r="5" spans="1:9">
      <c r="A5" t="s">
        <v>10</v>
      </c>
      <c r="B5">
        <v>8</v>
      </c>
      <c r="G5" t="s">
        <v>11</v>
      </c>
      <c r="H5">
        <f>SUM('Cooking '!E2:E6)</f>
        <v>51350</v>
      </c>
      <c r="I5" s="13">
        <f t="shared" si="0"/>
        <v>0.13010672044917856</v>
      </c>
    </row>
    <row r="6" spans="1:9">
      <c r="A6" t="s">
        <v>12</v>
      </c>
      <c r="B6">
        <v>300</v>
      </c>
      <c r="G6" t="s">
        <v>13</v>
      </c>
      <c r="H6">
        <f>36837+41678</f>
        <v>78515</v>
      </c>
      <c r="I6" s="13">
        <f t="shared" si="0"/>
        <v>0.19893532923207896</v>
      </c>
    </row>
    <row r="7" spans="1:9">
      <c r="A7" t="s">
        <v>14</v>
      </c>
      <c r="B7">
        <f>(IF(B2&lt;0, B2*0.233*(-1), 0))/1000</f>
        <v>0</v>
      </c>
      <c r="G7" t="s">
        <v>15</v>
      </c>
      <c r="H7">
        <v>25000</v>
      </c>
      <c r="I7" s="13">
        <f t="shared" si="0"/>
        <v>6.3343096615958411E-2</v>
      </c>
    </row>
    <row r="8" spans="1:9">
      <c r="A8" t="s">
        <v>16</v>
      </c>
      <c r="B8">
        <f>(IF(B3&lt;0, B3*0.233*(-1), 0))/1000</f>
        <v>21.726281885000006</v>
      </c>
      <c r="G8" t="s">
        <v>17</v>
      </c>
      <c r="H8">
        <f>Other!E4</f>
        <v>14280</v>
      </c>
      <c r="I8" s="13">
        <f t="shared" si="0"/>
        <v>3.6181576787035444E-2</v>
      </c>
    </row>
    <row r="9" spans="1:9">
      <c r="A9" t="s">
        <v>18</v>
      </c>
      <c r="B9">
        <f>((H1-E1)*0.233)/1000</f>
        <v>26.574499285000005</v>
      </c>
      <c r="G9" t="s">
        <v>19</v>
      </c>
      <c r="H9">
        <f>Comps!F5</f>
        <v>10584</v>
      </c>
      <c r="I9" s="13">
        <f t="shared" si="0"/>
        <v>2.6816933383332152E-2</v>
      </c>
    </row>
    <row r="10" spans="1:9">
      <c r="A10" t="s">
        <v>20</v>
      </c>
      <c r="B10">
        <f>(H1*0.233)/1000</f>
        <v>91.959508</v>
      </c>
      <c r="G10" t="s">
        <v>21</v>
      </c>
      <c r="H10">
        <f>Comps!F2</f>
        <v>95040</v>
      </c>
      <c r="I10" s="13">
        <f t="shared" si="0"/>
        <v>0.24080511609522748</v>
      </c>
    </row>
    <row r="11" spans="1:9">
      <c r="A11" t="s">
        <v>22</v>
      </c>
      <c r="B11" s="13">
        <f>Summary!E1/Savings!D9</f>
        <v>1.1816649309450611</v>
      </c>
      <c r="G11" t="s">
        <v>23</v>
      </c>
      <c r="H11">
        <f>Comps!F6</f>
        <v>5544</v>
      </c>
      <c r="I11" s="13">
        <f t="shared" si="0"/>
        <v>1.4046965105554936E-2</v>
      </c>
    </row>
    <row r="12" spans="1:9">
      <c r="A12" t="s">
        <v>24</v>
      </c>
      <c r="B12" s="13">
        <f>Summary!E1/Savings!E9</f>
        <v>0.75059166572604996</v>
      </c>
      <c r="G12" t="s">
        <v>25</v>
      </c>
      <c r="H12">
        <f>Comps!F3</f>
        <v>23760</v>
      </c>
      <c r="I12" s="13">
        <f t="shared" si="0"/>
        <v>6.020127902380687E-2</v>
      </c>
    </row>
    <row r="13" spans="1:9">
      <c r="A13" t="s">
        <v>26</v>
      </c>
      <c r="B13" s="13">
        <f>E2/H1</f>
        <v>0.71101955781451109</v>
      </c>
      <c r="G13" t="s">
        <v>27</v>
      </c>
      <c r="I13" s="13">
        <f t="shared" si="0"/>
        <v>0</v>
      </c>
    </row>
    <row r="14" spans="1:9">
      <c r="G14" s="20" t="s">
        <v>28</v>
      </c>
      <c r="H14" s="20">
        <f>Other!G5</f>
        <v>189000</v>
      </c>
      <c r="I14" s="21">
        <f>SUM(I2:I12)</f>
        <v>1</v>
      </c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3BE3-D196-4363-9AE9-D501901D5D1D}">
  <dimension ref="A1:D13"/>
  <sheetViews>
    <sheetView workbookViewId="0">
      <selection sqref="A1:C7"/>
    </sheetView>
  </sheetViews>
  <sheetFormatPr defaultRowHeight="14.45"/>
  <cols>
    <col min="1" max="1" width="15.28515625" customWidth="1"/>
    <col min="2" max="2" width="24.85546875" customWidth="1"/>
    <col min="3" max="3" width="24.85546875" style="24" customWidth="1"/>
    <col min="4" max="4" width="25.5703125" customWidth="1"/>
    <col min="5" max="5" width="10.140625" customWidth="1"/>
  </cols>
  <sheetData>
    <row r="1" spans="1:4">
      <c r="A1" t="s">
        <v>29</v>
      </c>
      <c r="B1" t="s">
        <v>30</v>
      </c>
      <c r="C1" s="24" t="s">
        <v>31</v>
      </c>
    </row>
    <row r="2" spans="1:4">
      <c r="A2" t="s">
        <v>32</v>
      </c>
      <c r="B2" s="13">
        <f>(Table1[[#This Row],[Energy Demand kWh/year]]/C$7)</f>
        <v>0.42821960291479594</v>
      </c>
      <c r="C2" s="24">
        <f>SUM(Comps!F2:F6)</f>
        <v>169008</v>
      </c>
    </row>
    <row r="3" spans="1:4">
      <c r="A3" t="s">
        <v>33</v>
      </c>
      <c r="B3" s="13">
        <f>(Table1[[#This Row],[Energy Demand kWh/year]]/C$7)</f>
        <v>0.19893532923207896</v>
      </c>
      <c r="C3" s="24">
        <f>Summary!H6</f>
        <v>78515</v>
      </c>
    </row>
    <row r="4" spans="1:4">
      <c r="A4" t="s">
        <v>34</v>
      </c>
      <c r="B4" s="13">
        <f>(Table1[[#This Row],[Energy Demand kWh/year]]/C$7)</f>
        <v>0.13010672044917856</v>
      </c>
      <c r="C4" s="24">
        <f>SUM('Cooking '!E2:E6)</f>
        <v>51350</v>
      </c>
    </row>
    <row r="5" spans="1:4">
      <c r="A5" t="s">
        <v>35</v>
      </c>
      <c r="B5" s="13">
        <f>(Table1[[#This Row],[Energy Demand kWh/year]]/C$7)</f>
        <v>0.12934153584205779</v>
      </c>
      <c r="C5" s="24">
        <f>Summary!H2</f>
        <v>51048</v>
      </c>
    </row>
    <row r="6" spans="1:4">
      <c r="A6" t="s">
        <v>36</v>
      </c>
      <c r="B6" s="13">
        <f>(Table1[[#This Row],[Energy Demand kWh/year]]/C$7)</f>
        <v>0.11339681156188874</v>
      </c>
      <c r="C6" s="24">
        <f>C7-SUM(C2:C5)</f>
        <v>44755</v>
      </c>
    </row>
    <row r="7" spans="1:4">
      <c r="A7" t="s">
        <v>37</v>
      </c>
      <c r="B7" s="13" t="s">
        <v>38</v>
      </c>
      <c r="C7" s="24">
        <f>Summary!H1</f>
        <v>394676</v>
      </c>
    </row>
    <row r="13" spans="1:4">
      <c r="D13" s="19"/>
    </row>
  </sheetData>
  <sortState xmlns:xlrd2="http://schemas.microsoft.com/office/spreadsheetml/2017/richdata2" ref="A2:C6">
    <sortCondition descending="1" ref="B2:B6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988D-647F-4F4A-AEF5-DD4D68BCD764}">
  <dimension ref="A1:G7"/>
  <sheetViews>
    <sheetView tabSelected="1" zoomScale="81" workbookViewId="0">
      <selection activeCell="E3" sqref="E3"/>
    </sheetView>
  </sheetViews>
  <sheetFormatPr defaultRowHeight="14.45"/>
  <cols>
    <col min="1" max="1" width="33.28515625" bestFit="1" customWidth="1"/>
    <col min="5" max="5" width="62.42578125" customWidth="1"/>
  </cols>
  <sheetData>
    <row r="1" spans="1:7">
      <c r="A1" t="s">
        <v>39</v>
      </c>
      <c r="B1" t="s">
        <v>40</v>
      </c>
      <c r="D1" t="s">
        <v>39</v>
      </c>
      <c r="E1" t="s">
        <v>41</v>
      </c>
      <c r="F1" t="s">
        <v>42</v>
      </c>
    </row>
    <row r="2" spans="1:7">
      <c r="A2" t="s">
        <v>43</v>
      </c>
      <c r="B2" s="13">
        <f>Summary!B11</f>
        <v>1.1816649309450611</v>
      </c>
      <c r="D2" t="s">
        <v>44</v>
      </c>
      <c r="E2">
        <f>TRUNC(Summary!B7)</f>
        <v>0</v>
      </c>
      <c r="F2">
        <f>E2*50</f>
        <v>0</v>
      </c>
      <c r="G2">
        <f>ROUND(F2,0)</f>
        <v>0</v>
      </c>
    </row>
    <row r="3" spans="1:7">
      <c r="A3" t="s">
        <v>45</v>
      </c>
      <c r="B3" s="13">
        <f>Summary!B12</f>
        <v>0.75059166572604996</v>
      </c>
      <c r="D3" t="s">
        <v>46</v>
      </c>
      <c r="E3">
        <f>ROUND(Summary!B8,1)</f>
        <v>21.7</v>
      </c>
      <c r="F3">
        <f t="shared" ref="F3:F7" si="0">E3*50</f>
        <v>1085</v>
      </c>
      <c r="G3">
        <f t="shared" ref="G3:G7" si="1">ROUND(F3,0)</f>
        <v>1085</v>
      </c>
    </row>
    <row r="4" spans="1:7">
      <c r="A4" t="s">
        <v>47</v>
      </c>
      <c r="B4" s="13">
        <f>Summary!B13</f>
        <v>0.71101955781451109</v>
      </c>
      <c r="D4" t="s">
        <v>48</v>
      </c>
      <c r="E4">
        <f>ROUND(Summary!B9,1)</f>
        <v>26.6</v>
      </c>
      <c r="F4">
        <f t="shared" si="0"/>
        <v>1330</v>
      </c>
      <c r="G4">
        <f t="shared" si="1"/>
        <v>1330</v>
      </c>
    </row>
    <row r="5" spans="1:7">
      <c r="D5" t="s">
        <v>49</v>
      </c>
      <c r="E5">
        <f>ROUND((Savings!D9*0.233)/1000,1)</f>
        <v>55.3</v>
      </c>
      <c r="F5">
        <f t="shared" si="0"/>
        <v>2765</v>
      </c>
      <c r="G5">
        <f t="shared" si="1"/>
        <v>2765</v>
      </c>
    </row>
    <row r="6" spans="1:7">
      <c r="D6" t="s">
        <v>50</v>
      </c>
      <c r="E6">
        <f>ROUND(Savings!E9*0.233/1000,1)</f>
        <v>87.1</v>
      </c>
      <c r="F6">
        <f t="shared" si="0"/>
        <v>4355</v>
      </c>
      <c r="G6">
        <f t="shared" si="1"/>
        <v>4355</v>
      </c>
    </row>
    <row r="7" spans="1:7">
      <c r="D7" t="s">
        <v>51</v>
      </c>
      <c r="E7">
        <f>ROUND(Summary!B10,1)</f>
        <v>92</v>
      </c>
      <c r="F7">
        <f t="shared" si="0"/>
        <v>4600</v>
      </c>
      <c r="G7">
        <f t="shared" si="1"/>
        <v>4600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AC98-2019-417C-95AB-FC0B16C41F81}">
  <dimension ref="A1:E12"/>
  <sheetViews>
    <sheetView workbookViewId="0">
      <selection activeCell="B11" sqref="B11"/>
    </sheetView>
  </sheetViews>
  <sheetFormatPr defaultRowHeight="14.45"/>
  <cols>
    <col min="1" max="1" width="17.28515625" bestFit="1" customWidth="1"/>
    <col min="2" max="2" width="14" customWidth="1"/>
    <col min="3" max="3" width="13" customWidth="1"/>
    <col min="4" max="4" width="11.7109375" customWidth="1"/>
  </cols>
  <sheetData>
    <row r="1" spans="1:5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>
      <c r="A2" t="s">
        <v>57</v>
      </c>
      <c r="B2">
        <v>1.98</v>
      </c>
      <c r="C2">
        <f>B2*Summary!B6</f>
        <v>594</v>
      </c>
      <c r="D2">
        <f>'Per Room Fit Out'!R$7</f>
        <v>26</v>
      </c>
      <c r="E2">
        <f>D2*C2</f>
        <v>15444</v>
      </c>
    </row>
    <row r="3" spans="1:5">
      <c r="A3" t="s">
        <v>58</v>
      </c>
      <c r="B3" t="s">
        <v>38</v>
      </c>
      <c r="C3">
        <v>166</v>
      </c>
      <c r="D3">
        <f>'Per Room Fit Out'!R$7</f>
        <v>26</v>
      </c>
      <c r="E3">
        <f t="shared" ref="E3:E6" si="0">D3*C3</f>
        <v>4316</v>
      </c>
    </row>
    <row r="4" spans="1:5">
      <c r="A4" t="s">
        <v>59</v>
      </c>
      <c r="B4">
        <v>0.65</v>
      </c>
      <c r="C4">
        <f>B4*Summary!B6</f>
        <v>195</v>
      </c>
      <c r="D4">
        <f>'Per Room Fit Out'!R$7</f>
        <v>26</v>
      </c>
      <c r="E4">
        <f t="shared" si="0"/>
        <v>5070</v>
      </c>
    </row>
    <row r="5" spans="1:5">
      <c r="A5" t="s">
        <v>60</v>
      </c>
      <c r="B5">
        <v>3</v>
      </c>
      <c r="C5">
        <f>B5*Summary!B6</f>
        <v>900</v>
      </c>
      <c r="D5">
        <f>'Per Room Fit Out'!R$7</f>
        <v>26</v>
      </c>
      <c r="E5">
        <f t="shared" si="0"/>
        <v>23400</v>
      </c>
    </row>
    <row r="6" spans="1:5">
      <c r="A6" t="s">
        <v>61</v>
      </c>
      <c r="B6">
        <v>0.4</v>
      </c>
      <c r="C6">
        <f>B6*Summary!B6</f>
        <v>120</v>
      </c>
      <c r="D6">
        <f>'Per Room Fit Out'!R$7</f>
        <v>26</v>
      </c>
      <c r="E6">
        <f t="shared" si="0"/>
        <v>3120</v>
      </c>
    </row>
    <row r="12" spans="1:5">
      <c r="A12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6D8A-6204-4902-813F-263A6AB88226}">
  <dimension ref="A1:G19"/>
  <sheetViews>
    <sheetView zoomScale="85" zoomScaleNormal="85" workbookViewId="0">
      <selection activeCell="D9" sqref="D9"/>
    </sheetView>
  </sheetViews>
  <sheetFormatPr defaultRowHeight="14.45"/>
  <cols>
    <col min="1" max="1" width="25.85546875" bestFit="1" customWidth="1"/>
    <col min="2" max="2" width="18.140625" bestFit="1" customWidth="1"/>
    <col min="3" max="3" width="9.7109375" customWidth="1"/>
    <col min="4" max="4" width="14.140625" customWidth="1"/>
    <col min="5" max="5" width="14.42578125" customWidth="1"/>
    <col min="6" max="11" width="11.42578125" customWidth="1"/>
  </cols>
  <sheetData>
    <row r="1" spans="1:7">
      <c r="A1" t="s">
        <v>63</v>
      </c>
      <c r="B1" s="13" t="s">
        <v>64</v>
      </c>
      <c r="C1" s="13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>
      <c r="A2" t="s">
        <v>70</v>
      </c>
      <c r="B2" s="13"/>
      <c r="C2" s="13"/>
      <c r="D2">
        <f>F2</f>
        <v>394676</v>
      </c>
      <c r="E2">
        <f>D2</f>
        <v>394676</v>
      </c>
      <c r="F2">
        <f>Summary!H1</f>
        <v>394676</v>
      </c>
      <c r="G2">
        <f>Summary!H1</f>
        <v>394676</v>
      </c>
    </row>
    <row r="3" spans="1:7">
      <c r="A3" t="s">
        <v>71</v>
      </c>
      <c r="B3" s="13">
        <f>0.35*B17</f>
        <v>6.9627365231227631E-2</v>
      </c>
      <c r="C3" s="13">
        <f>0.1*B17</f>
        <v>1.9893532923207898E-2</v>
      </c>
      <c r="D3">
        <f>D$2*B3</f>
        <v>27480.249999999996</v>
      </c>
      <c r="E3">
        <f>E$2*C3</f>
        <v>7851.5</v>
      </c>
      <c r="F3">
        <f>F2*0.65</f>
        <v>256539.40000000002</v>
      </c>
      <c r="G3">
        <f>G2*0.9</f>
        <v>355208.4</v>
      </c>
    </row>
    <row r="4" spans="1:7">
      <c r="A4" t="s">
        <v>72</v>
      </c>
      <c r="B4" s="13">
        <f>0.35*B18</f>
        <v>4.5269537544720226E-2</v>
      </c>
      <c r="C4" s="13">
        <f>0.1*B18</f>
        <v>1.293415358420578E-2</v>
      </c>
      <c r="D4">
        <f t="shared" ref="D4:D8" si="0">D$2*B4</f>
        <v>17866.8</v>
      </c>
      <c r="E4">
        <f t="shared" ref="E4:E8" si="1">E$2*C4</f>
        <v>5104.8</v>
      </c>
      <c r="F4">
        <f>F3*65%</f>
        <v>166750.61000000002</v>
      </c>
      <c r="G4">
        <f>G2*90%</f>
        <v>355208.4</v>
      </c>
    </row>
    <row r="5" spans="1:7">
      <c r="A5" t="s">
        <v>73</v>
      </c>
      <c r="B5" s="13">
        <f>0.35*B17</f>
        <v>6.9627365231227631E-2</v>
      </c>
      <c r="C5" s="13">
        <f>0.05*B17</f>
        <v>9.9467664616039488E-3</v>
      </c>
      <c r="D5">
        <f t="shared" si="0"/>
        <v>27480.249999999996</v>
      </c>
      <c r="E5">
        <f t="shared" si="1"/>
        <v>3925.75</v>
      </c>
      <c r="F5">
        <f>F4*0.65</f>
        <v>108387.89650000002</v>
      </c>
      <c r="G5">
        <f>G6*0.95</f>
        <v>320575.58099999995</v>
      </c>
    </row>
    <row r="6" spans="1:7">
      <c r="A6" t="s">
        <v>74</v>
      </c>
      <c r="B6" s="13">
        <f>0.22*B17</f>
        <v>4.3765772431057372E-2</v>
      </c>
      <c r="C6" s="13">
        <f>0.05*B17</f>
        <v>9.9467664616039488E-3</v>
      </c>
      <c r="D6">
        <f t="shared" si="0"/>
        <v>17273.3</v>
      </c>
      <c r="E6">
        <f t="shared" si="1"/>
        <v>3925.75</v>
      </c>
      <c r="F6">
        <f>F5*0.78</f>
        <v>84542.559270000012</v>
      </c>
      <c r="G6">
        <f>G7*0.95</f>
        <v>337447.98</v>
      </c>
    </row>
    <row r="7" spans="1:7">
      <c r="A7" t="s">
        <v>75</v>
      </c>
      <c r="B7" s="13">
        <v>0.1</v>
      </c>
      <c r="C7" s="13">
        <v>0</v>
      </c>
      <c r="D7">
        <f t="shared" si="0"/>
        <v>39467.600000000006</v>
      </c>
      <c r="E7">
        <f t="shared" si="1"/>
        <v>0</v>
      </c>
      <c r="F7">
        <f>F6*90%</f>
        <v>76088.303343000007</v>
      </c>
      <c r="G7">
        <f>G4*1</f>
        <v>355208.4</v>
      </c>
    </row>
    <row r="8" spans="1:7">
      <c r="A8" t="s">
        <v>76</v>
      </c>
      <c r="B8" s="13">
        <v>7.0000000000000007E-2</v>
      </c>
      <c r="C8" s="13">
        <v>0</v>
      </c>
      <c r="D8">
        <f t="shared" si="0"/>
        <v>27627.320000000003</v>
      </c>
      <c r="E8">
        <f t="shared" si="1"/>
        <v>0</v>
      </c>
      <c r="F8">
        <f>F7*0.93</f>
        <v>70762.122108990006</v>
      </c>
      <c r="G8">
        <f>G7*1</f>
        <v>355208.4</v>
      </c>
    </row>
    <row r="9" spans="1:7">
      <c r="A9" t="s">
        <v>77</v>
      </c>
      <c r="B9" s="13">
        <f>SUM(B3:B8)</f>
        <v>0.39829004043823285</v>
      </c>
      <c r="C9" s="13">
        <f>SUM(C3:C8)</f>
        <v>5.2721219430621566E-2</v>
      </c>
      <c r="D9">
        <f>D2-SUM(D3:D8)</f>
        <v>237480.48</v>
      </c>
      <c r="E9">
        <f>E2-SUM(E3:E8)</f>
        <v>373868.2</v>
      </c>
      <c r="F9">
        <f>F5</f>
        <v>108387.89650000002</v>
      </c>
      <c r="G9">
        <f>G5</f>
        <v>320575.58099999995</v>
      </c>
    </row>
    <row r="10" spans="1:7">
      <c r="E10">
        <f>AVERAGE(D9:G9)</f>
        <v>260078.03937499999</v>
      </c>
    </row>
    <row r="12" spans="1:7">
      <c r="A12" s="25" t="s">
        <v>0</v>
      </c>
      <c r="B12" s="25"/>
    </row>
    <row r="13" spans="1:7">
      <c r="A13" t="s">
        <v>36</v>
      </c>
      <c r="B13">
        <f>Summary!H1</f>
        <v>394676</v>
      </c>
    </row>
    <row r="14" spans="1:7">
      <c r="A14" t="s">
        <v>13</v>
      </c>
      <c r="B14">
        <f>Summary!H6</f>
        <v>78515</v>
      </c>
    </row>
    <row r="15" spans="1:7">
      <c r="A15" t="s">
        <v>35</v>
      </c>
      <c r="B15">
        <f>Summary!H2</f>
        <v>51048</v>
      </c>
    </row>
    <row r="16" spans="1:7">
      <c r="A16" t="s">
        <v>78</v>
      </c>
      <c r="B16">
        <f>Comps!F8</f>
        <v>163464</v>
      </c>
    </row>
    <row r="17" spans="1:2">
      <c r="A17" t="s">
        <v>79</v>
      </c>
      <c r="B17">
        <f>B14/B13</f>
        <v>0.19893532923207896</v>
      </c>
    </row>
    <row r="18" spans="1:2">
      <c r="A18" t="s">
        <v>80</v>
      </c>
      <c r="B18">
        <f>B15/B13</f>
        <v>0.12934153584205779</v>
      </c>
    </row>
    <row r="19" spans="1:2">
      <c r="A19" t="s">
        <v>81</v>
      </c>
      <c r="B19">
        <f>B16/B13</f>
        <v>0.41417263780924102</v>
      </c>
    </row>
  </sheetData>
  <mergeCells count="1">
    <mergeCell ref="A12:B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activeCell="H6" sqref="H6"/>
    </sheetView>
  </sheetViews>
  <sheetFormatPr defaultRowHeight="14.45"/>
  <cols>
    <col min="1" max="1" width="25.42578125" customWidth="1"/>
    <col min="3" max="3" width="14.42578125" bestFit="1" customWidth="1"/>
    <col min="4" max="4" width="11.28515625" bestFit="1" customWidth="1"/>
    <col min="5" max="5" width="11.28515625" customWidth="1"/>
    <col min="6" max="6" width="25.5703125" customWidth="1"/>
    <col min="7" max="9" width="21.7109375" customWidth="1"/>
    <col min="10" max="10" width="27.28515625" customWidth="1"/>
  </cols>
  <sheetData>
    <row r="1" spans="1:12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s="1" t="s">
        <v>92</v>
      </c>
      <c r="L1" t="s">
        <v>93</v>
      </c>
    </row>
    <row r="2" spans="1:12">
      <c r="A2" t="s">
        <v>94</v>
      </c>
      <c r="B2">
        <v>1000</v>
      </c>
      <c r="C2">
        <f t="shared" ref="C2:C7" si="0">750/B2</f>
        <v>0.75</v>
      </c>
      <c r="D2">
        <v>0</v>
      </c>
      <c r="K2" s="1"/>
    </row>
    <row r="3" spans="1:12">
      <c r="A3" t="s">
        <v>95</v>
      </c>
      <c r="B3">
        <v>400</v>
      </c>
      <c r="C3">
        <f t="shared" si="0"/>
        <v>1.875</v>
      </c>
      <c r="D3">
        <v>0</v>
      </c>
      <c r="F3">
        <v>0</v>
      </c>
      <c r="J3">
        <v>0</v>
      </c>
      <c r="K3" s="1"/>
    </row>
    <row r="4" spans="1:12">
      <c r="A4" t="s">
        <v>96</v>
      </c>
      <c r="B4">
        <v>1</v>
      </c>
      <c r="C4">
        <f t="shared" si="0"/>
        <v>750</v>
      </c>
      <c r="D4">
        <v>0</v>
      </c>
      <c r="F4">
        <v>0</v>
      </c>
      <c r="J4">
        <v>0</v>
      </c>
      <c r="K4" s="1"/>
    </row>
    <row r="5" spans="1:12">
      <c r="A5" t="s">
        <v>97</v>
      </c>
      <c r="B5">
        <v>3000</v>
      </c>
      <c r="C5">
        <f t="shared" si="0"/>
        <v>0.25</v>
      </c>
      <c r="E5">
        <v>39</v>
      </c>
      <c r="F5">
        <f>(E5*8*60*60)/1000</f>
        <v>1123.2</v>
      </c>
      <c r="G5">
        <f>(E5*Summary!B$4)/1000</f>
        <v>0.46800000000000003</v>
      </c>
      <c r="H5">
        <f>I5*'Per Room Fit Out'!R$2</f>
        <v>99543.6</v>
      </c>
      <c r="I5">
        <f>G5*Summary!B$6</f>
        <v>140.4</v>
      </c>
      <c r="J5">
        <f>F5*'Per Room Fit Out'!G2</f>
        <v>195436.80000000002</v>
      </c>
      <c r="K5" s="1">
        <v>0.08</v>
      </c>
      <c r="L5" s="12">
        <f>K5*'Per Room Fit Out'!G2</f>
        <v>13.92</v>
      </c>
    </row>
    <row r="6" spans="1:12">
      <c r="A6" t="s">
        <v>98</v>
      </c>
      <c r="B6">
        <v>1000</v>
      </c>
      <c r="C6">
        <f t="shared" si="0"/>
        <v>0.75</v>
      </c>
      <c r="E6">
        <v>10</v>
      </c>
      <c r="F6">
        <f>(E6*8*60*60)/1000</f>
        <v>288</v>
      </c>
      <c r="G6">
        <f>(E6*Summary!B$4)/1000</f>
        <v>0.12</v>
      </c>
      <c r="H6">
        <f>I6*'Per Room Fit Out'!R$2</f>
        <v>25524</v>
      </c>
      <c r="I6">
        <f>G6*Summary!B$6</f>
        <v>36</v>
      </c>
      <c r="J6">
        <f>F6*'Per Room Fit Out'!G3</f>
        <v>0</v>
      </c>
      <c r="K6" s="1">
        <v>0.02</v>
      </c>
    </row>
    <row r="7" spans="1:12">
      <c r="A7" t="s">
        <v>99</v>
      </c>
      <c r="B7">
        <v>3000</v>
      </c>
      <c r="C7">
        <f t="shared" si="0"/>
        <v>0.25</v>
      </c>
      <c r="E7">
        <v>20</v>
      </c>
      <c r="F7">
        <f>(E7*8*60*60)/1000</f>
        <v>576</v>
      </c>
      <c r="G7">
        <f>(E7*Summary!B$4)/1000</f>
        <v>0.24</v>
      </c>
      <c r="H7">
        <f>I7*'Per Room Fit Out'!R$2</f>
        <v>51048</v>
      </c>
      <c r="I7">
        <f>G7*Summary!B$6</f>
        <v>72</v>
      </c>
      <c r="J7">
        <f>F7*'Per Room Fit Out'!G4</f>
        <v>54144</v>
      </c>
      <c r="K7" s="1">
        <v>0.04</v>
      </c>
    </row>
    <row r="34" spans="6:6">
      <c r="F34">
        <v>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9BF5-B4D9-4687-BF2A-4F69618A983C}">
  <dimension ref="A1:F11"/>
  <sheetViews>
    <sheetView workbookViewId="0">
      <selection activeCell="F2" sqref="F2:F6"/>
    </sheetView>
  </sheetViews>
  <sheetFormatPr defaultRowHeight="14.45"/>
  <cols>
    <col min="1" max="1" width="37.140625" bestFit="1" customWidth="1"/>
    <col min="3" max="3" width="16.5703125" customWidth="1"/>
    <col min="5" max="5" width="11" customWidth="1"/>
    <col min="6" max="6" width="12.85546875" customWidth="1"/>
  </cols>
  <sheetData>
    <row r="1" spans="1:6">
      <c r="A1" t="s">
        <v>52</v>
      </c>
      <c r="B1" t="s">
        <v>100</v>
      </c>
      <c r="C1" t="s">
        <v>101</v>
      </c>
      <c r="D1" t="s">
        <v>53</v>
      </c>
      <c r="E1" t="s">
        <v>54</v>
      </c>
      <c r="F1" t="s">
        <v>102</v>
      </c>
    </row>
    <row r="2" spans="1:6">
      <c r="A2" t="s">
        <v>103</v>
      </c>
      <c r="B2">
        <f>TRUNC('Per Room Fit Out'!R6)+(B3/2)</f>
        <v>792</v>
      </c>
      <c r="C2">
        <v>0.05</v>
      </c>
      <c r="D2">
        <f>C2*Summary!B$5</f>
        <v>0.4</v>
      </c>
      <c r="E2">
        <f>D2*Summary!B$6</f>
        <v>120</v>
      </c>
      <c r="F2">
        <f>E2*B$2</f>
        <v>95040</v>
      </c>
    </row>
    <row r="3" spans="1:6">
      <c r="A3" t="s">
        <v>104</v>
      </c>
      <c r="B3">
        <f>('Per Room Fit Out'!R4-B4)*2</f>
        <v>592</v>
      </c>
      <c r="C3">
        <v>1.2500000000000001E-2</v>
      </c>
      <c r="D3">
        <f>C3*Summary!B$5</f>
        <v>0.1</v>
      </c>
      <c r="E3">
        <f>D3*Summary!B$6</f>
        <v>30</v>
      </c>
      <c r="F3">
        <f>E3*B$2</f>
        <v>23760</v>
      </c>
    </row>
    <row r="4" spans="1:6">
      <c r="A4" t="s">
        <v>105</v>
      </c>
      <c r="B4" s="18">
        <f>31+ 20+20</f>
        <v>71</v>
      </c>
      <c r="C4">
        <v>0.2</v>
      </c>
      <c r="D4">
        <f>C4*Summary!B$5</f>
        <v>1.6</v>
      </c>
      <c r="E4">
        <f>D4*Summary!B$6</f>
        <v>480</v>
      </c>
      <c r="F4">
        <f>E4*B$4</f>
        <v>34080</v>
      </c>
    </row>
    <row r="5" spans="1:6">
      <c r="A5" t="s">
        <v>106</v>
      </c>
      <c r="B5">
        <f>'Per Room Fit Out'!R5</f>
        <v>21</v>
      </c>
      <c r="C5">
        <v>0.21</v>
      </c>
      <c r="D5">
        <f>C5*Summary!B$5</f>
        <v>1.68</v>
      </c>
      <c r="E5">
        <f>D5*Summary!B$6</f>
        <v>504</v>
      </c>
      <c r="F5">
        <f>E5*B$5</f>
        <v>10584</v>
      </c>
    </row>
    <row r="6" spans="1:6">
      <c r="A6" t="s">
        <v>107</v>
      </c>
      <c r="B6">
        <f>'Per Room Fit Out'!R9</f>
        <v>31</v>
      </c>
      <c r="C6">
        <v>0.11</v>
      </c>
      <c r="D6">
        <f>C6*Summary!B$5</f>
        <v>0.88</v>
      </c>
      <c r="E6">
        <f>D6*Summary!B$6</f>
        <v>264</v>
      </c>
      <c r="F6">
        <f>E6*B$5</f>
        <v>5544</v>
      </c>
    </row>
    <row r="8" spans="1:6">
      <c r="F8">
        <f>SUM(F2:F5)</f>
        <v>163464</v>
      </c>
    </row>
    <row r="11" spans="1:6">
      <c r="C11">
        <f>B3*2</f>
        <v>1184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34F6-1282-4D8E-A07F-8F674AA0CFAD}">
  <dimension ref="A1:N13"/>
  <sheetViews>
    <sheetView topLeftCell="D1" workbookViewId="0">
      <selection activeCell="G9" sqref="G9"/>
    </sheetView>
  </sheetViews>
  <sheetFormatPr defaultRowHeight="14.45"/>
  <cols>
    <col min="3" max="3" width="18.28515625" bestFit="1" customWidth="1"/>
    <col min="4" max="4" width="16.7109375" bestFit="1" customWidth="1"/>
    <col min="5" max="5" width="19.7109375" bestFit="1" customWidth="1"/>
    <col min="6" max="6" width="10.85546875" customWidth="1"/>
    <col min="7" max="7" width="17.42578125" bestFit="1" customWidth="1"/>
  </cols>
  <sheetData>
    <row r="1" spans="1:14">
      <c r="A1" t="s">
        <v>52</v>
      </c>
      <c r="B1" t="s">
        <v>108</v>
      </c>
      <c r="C1" t="s">
        <v>109</v>
      </c>
      <c r="D1" t="s">
        <v>110</v>
      </c>
      <c r="E1" t="s">
        <v>111</v>
      </c>
    </row>
    <row r="2" spans="1:14">
      <c r="A2" t="s">
        <v>112</v>
      </c>
      <c r="B2">
        <v>3</v>
      </c>
      <c r="C2">
        <v>5</v>
      </c>
      <c r="D2">
        <f>C2*365</f>
        <v>1825</v>
      </c>
      <c r="E2">
        <f>D2*B2</f>
        <v>5475</v>
      </c>
    </row>
    <row r="3" spans="1:14">
      <c r="B3" t="s">
        <v>113</v>
      </c>
      <c r="C3" t="s">
        <v>114</v>
      </c>
      <c r="D3" t="s">
        <v>115</v>
      </c>
      <c r="E3" t="s">
        <v>54</v>
      </c>
      <c r="F3" t="s">
        <v>100</v>
      </c>
      <c r="G3" t="s">
        <v>116</v>
      </c>
    </row>
    <row r="4" spans="1:14">
      <c r="A4" t="s">
        <v>17</v>
      </c>
      <c r="B4">
        <v>3.4</v>
      </c>
      <c r="C4">
        <v>14</v>
      </c>
      <c r="D4">
        <f>B4*C4</f>
        <v>47.6</v>
      </c>
      <c r="E4">
        <f>D4*Summary!B$6</f>
        <v>14280</v>
      </c>
    </row>
    <row r="5" spans="1:14">
      <c r="A5" t="s">
        <v>117</v>
      </c>
      <c r="B5" s="5">
        <v>7</v>
      </c>
      <c r="C5" s="5">
        <v>6</v>
      </c>
      <c r="D5">
        <f>B5*C5</f>
        <v>42</v>
      </c>
      <c r="E5">
        <f>D5*Summary!B$6</f>
        <v>12600</v>
      </c>
      <c r="F5" s="5">
        <v>15</v>
      </c>
      <c r="G5">
        <f>E5*F5</f>
        <v>189000</v>
      </c>
    </row>
    <row r="6" spans="1:14">
      <c r="J6" t="s">
        <v>118</v>
      </c>
      <c r="K6">
        <v>95</v>
      </c>
      <c r="L6" t="s">
        <v>119</v>
      </c>
    </row>
    <row r="7" spans="1:14" ht="28.9">
      <c r="B7" t="s">
        <v>113</v>
      </c>
      <c r="C7" t="s">
        <v>120</v>
      </c>
      <c r="D7" t="s">
        <v>121</v>
      </c>
      <c r="E7" t="s">
        <v>122</v>
      </c>
      <c r="F7" s="10" t="s">
        <v>123</v>
      </c>
      <c r="G7" t="s">
        <v>124</v>
      </c>
      <c r="H7" t="s">
        <v>125</v>
      </c>
      <c r="J7" t="s">
        <v>126</v>
      </c>
      <c r="K7">
        <v>77.89</v>
      </c>
      <c r="L7" t="s">
        <v>127</v>
      </c>
      <c r="M7">
        <f>K7/1000</f>
        <v>7.7890000000000001E-2</v>
      </c>
      <c r="N7" t="s">
        <v>128</v>
      </c>
    </row>
    <row r="8" spans="1:14">
      <c r="A8" t="s">
        <v>129</v>
      </c>
      <c r="B8">
        <v>7</v>
      </c>
      <c r="C8" s="23">
        <f>60/B8</f>
        <v>8.5714285714285712</v>
      </c>
      <c r="D8">
        <f>B8*0.233</f>
        <v>1.631</v>
      </c>
      <c r="E8">
        <f>D8/1000</f>
        <v>1.6310000000000001E-3</v>
      </c>
      <c r="F8" s="22">
        <f>E8*K$6</f>
        <v>0.154945</v>
      </c>
      <c r="G8" s="22">
        <f>B8*M$7</f>
        <v>0.54522999999999999</v>
      </c>
      <c r="H8" s="22">
        <f>F8+G8</f>
        <v>0.70017499999999999</v>
      </c>
    </row>
    <row r="9" spans="1:14">
      <c r="B9">
        <v>3.7</v>
      </c>
      <c r="C9" s="23">
        <f t="shared" ref="C9:C12" si="0">60/B9</f>
        <v>16.216216216216214</v>
      </c>
      <c r="D9">
        <f t="shared" ref="D9:D13" si="1">B9*0.233</f>
        <v>0.86210000000000009</v>
      </c>
      <c r="E9">
        <f t="shared" ref="E9:E13" si="2">D9/1000</f>
        <v>8.6210000000000008E-4</v>
      </c>
      <c r="F9" s="22">
        <f t="shared" ref="F9:F13" si="3">E9*K$6</f>
        <v>8.1899500000000014E-2</v>
      </c>
      <c r="G9" s="22">
        <f t="shared" ref="G9:G13" si="4">B9*M$7</f>
        <v>0.28819300000000003</v>
      </c>
      <c r="H9" s="22">
        <f t="shared" ref="H9:H13" si="5">F9+G9</f>
        <v>0.37009250000000005</v>
      </c>
    </row>
    <row r="10" spans="1:14">
      <c r="B10">
        <v>22</v>
      </c>
      <c r="C10" s="23">
        <f t="shared" si="0"/>
        <v>2.7272727272727271</v>
      </c>
      <c r="D10">
        <f t="shared" si="1"/>
        <v>5.1260000000000003</v>
      </c>
      <c r="E10">
        <f t="shared" si="2"/>
        <v>5.1260000000000003E-3</v>
      </c>
      <c r="F10" s="22">
        <f t="shared" si="3"/>
        <v>0.48697000000000001</v>
      </c>
      <c r="G10" s="22">
        <f t="shared" si="4"/>
        <v>1.7135800000000001</v>
      </c>
      <c r="H10" s="22">
        <f t="shared" si="5"/>
        <v>2.2005500000000002</v>
      </c>
    </row>
    <row r="11" spans="1:14">
      <c r="B11">
        <v>43</v>
      </c>
      <c r="C11" s="23">
        <f t="shared" si="0"/>
        <v>1.3953488372093024</v>
      </c>
      <c r="D11">
        <f t="shared" si="1"/>
        <v>10.019</v>
      </c>
      <c r="E11">
        <f t="shared" si="2"/>
        <v>1.0019E-2</v>
      </c>
      <c r="F11" s="22">
        <f t="shared" si="3"/>
        <v>0.95180500000000001</v>
      </c>
      <c r="G11" s="22">
        <f t="shared" si="4"/>
        <v>3.3492700000000002</v>
      </c>
      <c r="H11" s="22">
        <f t="shared" si="5"/>
        <v>4.301075</v>
      </c>
    </row>
    <row r="12" spans="1:14">
      <c r="B12">
        <v>50</v>
      </c>
      <c r="C12" s="23">
        <f t="shared" si="0"/>
        <v>1.2</v>
      </c>
      <c r="D12">
        <f t="shared" si="1"/>
        <v>11.65</v>
      </c>
      <c r="E12">
        <f t="shared" si="2"/>
        <v>1.1650000000000001E-2</v>
      </c>
      <c r="F12" s="22">
        <f t="shared" si="3"/>
        <v>1.1067500000000001</v>
      </c>
      <c r="G12" s="22">
        <f t="shared" si="4"/>
        <v>3.8944999999999999</v>
      </c>
      <c r="H12" s="22">
        <f t="shared" si="5"/>
        <v>5.0012499999999998</v>
      </c>
    </row>
    <row r="13" spans="1:14">
      <c r="B13">
        <v>150</v>
      </c>
      <c r="C13" s="23">
        <f>60/B13</f>
        <v>0.4</v>
      </c>
      <c r="D13">
        <f t="shared" si="1"/>
        <v>34.950000000000003</v>
      </c>
      <c r="E13">
        <f t="shared" si="2"/>
        <v>3.4950000000000002E-2</v>
      </c>
      <c r="F13" s="22">
        <f t="shared" si="3"/>
        <v>3.3202500000000001</v>
      </c>
      <c r="G13" s="22">
        <f t="shared" si="4"/>
        <v>11.6835</v>
      </c>
      <c r="H13" s="22">
        <f t="shared" si="5"/>
        <v>15.00375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8509-32D5-4199-A44D-85FFEB4B7912}">
  <dimension ref="A1:K7"/>
  <sheetViews>
    <sheetView workbookViewId="0">
      <selection activeCell="C20" sqref="C20"/>
    </sheetView>
  </sheetViews>
  <sheetFormatPr defaultRowHeight="14.45"/>
  <cols>
    <col min="4" max="4" width="12.7109375" customWidth="1"/>
    <col min="6" max="6" width="12.5703125" bestFit="1" customWidth="1"/>
    <col min="7" max="7" width="17.7109375" bestFit="1" customWidth="1"/>
  </cols>
  <sheetData>
    <row r="1" spans="1:11">
      <c r="A1" t="s">
        <v>52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11">
      <c r="A2" t="s">
        <v>137</v>
      </c>
      <c r="B2">
        <f>1.335*0.67*6</f>
        <v>5.3667000000000007</v>
      </c>
      <c r="C2">
        <v>1.17</v>
      </c>
      <c r="D2">
        <f>C2*960</f>
        <v>1123.1999999999998</v>
      </c>
      <c r="E2">
        <v>1769</v>
      </c>
      <c r="F2" s="2">
        <f>OVERENERGy!D7/D2</f>
        <v>934.17022792022806</v>
      </c>
      <c r="G2" s="3">
        <f>F2*E2*H2</f>
        <v>8284898574.0763149</v>
      </c>
      <c r="H2" s="2">
        <f>B2*F2</f>
        <v>5013.4113621794886</v>
      </c>
    </row>
    <row r="6" spans="1:11">
      <c r="A6" t="s">
        <v>138</v>
      </c>
      <c r="B6" t="s">
        <v>139</v>
      </c>
      <c r="D6" t="s">
        <v>140</v>
      </c>
      <c r="K6" t="s">
        <v>141</v>
      </c>
    </row>
    <row r="7" spans="1:11">
      <c r="A7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3CDB-5A14-4A97-8082-81BED5DEA62C}">
  <dimension ref="A1:U25"/>
  <sheetViews>
    <sheetView topLeftCell="H1" zoomScale="127" workbookViewId="0">
      <selection activeCell="G14" sqref="G14"/>
    </sheetView>
  </sheetViews>
  <sheetFormatPr defaultRowHeight="14.45"/>
  <cols>
    <col min="4" max="4" width="10" bestFit="1" customWidth="1"/>
    <col min="15" max="15" width="10" bestFit="1" customWidth="1"/>
  </cols>
  <sheetData>
    <row r="1" spans="1:21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</row>
    <row r="2" spans="1:21">
      <c r="A2" t="s">
        <v>149</v>
      </c>
      <c r="B2">
        <v>92</v>
      </c>
      <c r="C2">
        <v>2944</v>
      </c>
      <c r="D2">
        <f>B2*C2</f>
        <v>270848</v>
      </c>
      <c r="E2">
        <f>D2/874.5</f>
        <v>309.71755288736421</v>
      </c>
      <c r="F2">
        <f t="shared" ref="F2:F7" si="0">D2/1000</f>
        <v>270.84800000000001</v>
      </c>
      <c r="I2" t="s">
        <v>149</v>
      </c>
      <c r="J2">
        <v>539</v>
      </c>
      <c r="K2">
        <v>2944</v>
      </c>
      <c r="L2">
        <f>J2*K2</f>
        <v>1586816</v>
      </c>
      <c r="M2">
        <f>L2/874.5</f>
        <v>1814.5408805031448</v>
      </c>
      <c r="N2">
        <f t="shared" ref="N2:N7" si="1">L2/1000</f>
        <v>1586.816</v>
      </c>
      <c r="P2" t="s">
        <v>149</v>
      </c>
      <c r="Q2">
        <v>50</v>
      </c>
      <c r="R2">
        <v>2944</v>
      </c>
      <c r="S2">
        <f>Q2*R2</f>
        <v>147200</v>
      </c>
      <c r="T2">
        <f>S2/874.5</f>
        <v>168.32475700400229</v>
      </c>
      <c r="U2">
        <f t="shared" ref="U2:U7" si="2">S2/1000</f>
        <v>147.19999999999999</v>
      </c>
    </row>
    <row r="3" spans="1:21">
      <c r="A3">
        <v>1</v>
      </c>
      <c r="B3">
        <v>92</v>
      </c>
      <c r="C3">
        <v>2944</v>
      </c>
      <c r="D3">
        <f t="shared" ref="D3:D6" si="3">B3*C3</f>
        <v>270848</v>
      </c>
      <c r="E3">
        <f t="shared" ref="E3:E7" si="4">D3/874.5</f>
        <v>309.71755288736421</v>
      </c>
      <c r="F3">
        <f t="shared" si="0"/>
        <v>270.84800000000001</v>
      </c>
      <c r="I3">
        <v>1</v>
      </c>
      <c r="J3">
        <v>539</v>
      </c>
      <c r="K3">
        <v>2944</v>
      </c>
      <c r="L3">
        <f t="shared" ref="L3:L6" si="5">J3*K3</f>
        <v>1586816</v>
      </c>
      <c r="M3">
        <f t="shared" ref="M3:M7" si="6">L3/874.5</f>
        <v>1814.5408805031448</v>
      </c>
      <c r="N3">
        <f t="shared" si="1"/>
        <v>1586.816</v>
      </c>
      <c r="P3">
        <v>1</v>
      </c>
      <c r="Q3">
        <v>50</v>
      </c>
      <c r="R3">
        <v>2944</v>
      </c>
      <c r="S3">
        <f t="shared" ref="S3:S6" si="7">Q3*R3</f>
        <v>147200</v>
      </c>
      <c r="T3">
        <f t="shared" ref="T3:T7" si="8">S3/874.5</f>
        <v>168.32475700400229</v>
      </c>
      <c r="U3">
        <f t="shared" si="2"/>
        <v>147.19999999999999</v>
      </c>
    </row>
    <row r="4" spans="1:21">
      <c r="A4">
        <v>2</v>
      </c>
      <c r="B4">
        <v>92</v>
      </c>
      <c r="C4">
        <v>2160</v>
      </c>
      <c r="D4">
        <f t="shared" si="3"/>
        <v>198720</v>
      </c>
      <c r="E4">
        <f t="shared" si="4"/>
        <v>227.23842195540308</v>
      </c>
      <c r="F4">
        <f t="shared" si="0"/>
        <v>198.72</v>
      </c>
      <c r="I4">
        <v>2</v>
      </c>
      <c r="J4">
        <v>539</v>
      </c>
      <c r="K4">
        <v>2160</v>
      </c>
      <c r="L4">
        <f t="shared" si="5"/>
        <v>1164240</v>
      </c>
      <c r="M4">
        <f t="shared" si="6"/>
        <v>1331.3207547169811</v>
      </c>
      <c r="N4">
        <f t="shared" si="1"/>
        <v>1164.24</v>
      </c>
      <c r="P4">
        <v>2</v>
      </c>
      <c r="Q4">
        <v>50</v>
      </c>
      <c r="R4">
        <v>2160</v>
      </c>
      <c r="S4">
        <f t="shared" si="7"/>
        <v>108000</v>
      </c>
      <c r="T4">
        <f t="shared" si="8"/>
        <v>123.4991423670669</v>
      </c>
      <c r="U4">
        <f t="shared" si="2"/>
        <v>108</v>
      </c>
    </row>
    <row r="5" spans="1:21">
      <c r="A5">
        <v>3</v>
      </c>
      <c r="B5">
        <v>92</v>
      </c>
      <c r="C5">
        <v>2153</v>
      </c>
      <c r="D5">
        <f t="shared" si="3"/>
        <v>198076</v>
      </c>
      <c r="E5">
        <f t="shared" si="4"/>
        <v>226.50200114351057</v>
      </c>
      <c r="F5">
        <f t="shared" si="0"/>
        <v>198.07599999999999</v>
      </c>
      <c r="I5">
        <v>3</v>
      </c>
      <c r="J5">
        <v>539</v>
      </c>
      <c r="K5">
        <v>2153</v>
      </c>
      <c r="L5">
        <f t="shared" si="5"/>
        <v>1160467</v>
      </c>
      <c r="M5">
        <f t="shared" si="6"/>
        <v>1327.0062893081761</v>
      </c>
      <c r="N5">
        <f t="shared" si="1"/>
        <v>1160.4670000000001</v>
      </c>
      <c r="P5">
        <v>3</v>
      </c>
      <c r="Q5">
        <v>50</v>
      </c>
      <c r="R5">
        <v>2153</v>
      </c>
      <c r="S5">
        <f t="shared" si="7"/>
        <v>107650</v>
      </c>
      <c r="T5">
        <f t="shared" si="8"/>
        <v>123.0989136649514</v>
      </c>
      <c r="U5">
        <f t="shared" si="2"/>
        <v>107.65</v>
      </c>
    </row>
    <row r="6" spans="1:21">
      <c r="A6">
        <v>4</v>
      </c>
      <c r="B6">
        <v>92</v>
      </c>
      <c r="C6">
        <v>1204</v>
      </c>
      <c r="D6">
        <f t="shared" si="3"/>
        <v>110768</v>
      </c>
      <c r="E6">
        <f t="shared" si="4"/>
        <v>126.66437964551172</v>
      </c>
      <c r="F6">
        <f t="shared" si="0"/>
        <v>110.768</v>
      </c>
      <c r="I6">
        <v>4</v>
      </c>
      <c r="J6">
        <v>539</v>
      </c>
      <c r="K6">
        <v>1204</v>
      </c>
      <c r="L6">
        <f t="shared" si="5"/>
        <v>648956</v>
      </c>
      <c r="M6">
        <f t="shared" si="6"/>
        <v>742.08805031446536</v>
      </c>
      <c r="N6">
        <f t="shared" si="1"/>
        <v>648.95600000000002</v>
      </c>
      <c r="P6">
        <v>4</v>
      </c>
      <c r="Q6">
        <v>50</v>
      </c>
      <c r="R6">
        <v>1204</v>
      </c>
      <c r="S6">
        <f t="shared" si="7"/>
        <v>60200</v>
      </c>
      <c r="T6">
        <f t="shared" si="8"/>
        <v>68.839336763865063</v>
      </c>
      <c r="U6">
        <f t="shared" si="2"/>
        <v>60.2</v>
      </c>
    </row>
    <row r="7" spans="1:21">
      <c r="C7">
        <f t="shared" ref="C7:D7" si="9">SUM(C2:C6)</f>
        <v>11405</v>
      </c>
      <c r="D7">
        <f t="shared" si="9"/>
        <v>1049260</v>
      </c>
      <c r="E7">
        <f t="shared" si="4"/>
        <v>1199.8399085191538</v>
      </c>
      <c r="F7">
        <f t="shared" si="0"/>
        <v>1049.26</v>
      </c>
      <c r="K7">
        <f t="shared" ref="K7" si="10">SUM(K2:K6)</f>
        <v>11405</v>
      </c>
      <c r="L7">
        <f t="shared" ref="L7" si="11">SUM(L2:L6)</f>
        <v>6147295</v>
      </c>
      <c r="M7">
        <f t="shared" si="6"/>
        <v>7029.4968553459121</v>
      </c>
      <c r="N7">
        <f t="shared" si="1"/>
        <v>6147.2950000000001</v>
      </c>
      <c r="R7">
        <f t="shared" ref="R7" si="12">SUM(R2:R6)</f>
        <v>11405</v>
      </c>
      <c r="S7">
        <f t="shared" ref="S7" si="13">SUM(S2:S6)</f>
        <v>570250</v>
      </c>
      <c r="T7">
        <f t="shared" si="8"/>
        <v>652.08690680388793</v>
      </c>
      <c r="U7">
        <f t="shared" si="2"/>
        <v>570.25</v>
      </c>
    </row>
    <row r="9" spans="1:21">
      <c r="I9" t="s">
        <v>143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</row>
    <row r="10" spans="1:21">
      <c r="A10" t="s">
        <v>150</v>
      </c>
      <c r="F10" t="s">
        <v>151</v>
      </c>
      <c r="G10" t="s">
        <v>152</v>
      </c>
      <c r="H10" t="s">
        <v>153</v>
      </c>
      <c r="I10" t="s">
        <v>149</v>
      </c>
      <c r="J10">
        <v>20</v>
      </c>
      <c r="K10">
        <v>2944</v>
      </c>
      <c r="L10">
        <f>J10*K10</f>
        <v>58880</v>
      </c>
      <c r="M10">
        <f>L10/874.5</f>
        <v>67.329902801600909</v>
      </c>
      <c r="N10">
        <f t="shared" ref="N10:N15" si="14">L10/1000</f>
        <v>58.88</v>
      </c>
    </row>
    <row r="11" spans="1:21">
      <c r="A11">
        <v>1</v>
      </c>
      <c r="B11">
        <v>323.7616830623565</v>
      </c>
      <c r="C11">
        <f>B11/6</f>
        <v>53.960280510392749</v>
      </c>
      <c r="D11">
        <f>C11</f>
        <v>53.960280510392749</v>
      </c>
      <c r="E11">
        <f t="shared" ref="E11:E14" si="15">TRUNC(D11)</f>
        <v>53</v>
      </c>
      <c r="F11">
        <f>E11*60</f>
        <v>3180</v>
      </c>
      <c r="G11">
        <f>E11*425.275</f>
        <v>22539.574999999997</v>
      </c>
      <c r="H11">
        <v>-9</v>
      </c>
      <c r="I11">
        <v>1</v>
      </c>
      <c r="J11">
        <v>20</v>
      </c>
      <c r="K11">
        <v>2944</v>
      </c>
      <c r="L11">
        <f t="shared" ref="L11:L14" si="16">J11*K11</f>
        <v>58880</v>
      </c>
      <c r="M11">
        <f t="shared" ref="M11:M15" si="17">L11/874.5</f>
        <v>67.329902801600909</v>
      </c>
      <c r="N11">
        <f t="shared" si="14"/>
        <v>58.88</v>
      </c>
    </row>
    <row r="12" spans="1:21">
      <c r="C12">
        <f t="shared" ref="C12:C14" si="18">B12/6</f>
        <v>0</v>
      </c>
      <c r="D12">
        <f t="shared" ref="D12:D14" si="19">C12</f>
        <v>0</v>
      </c>
      <c r="E12">
        <f t="shared" si="15"/>
        <v>0</v>
      </c>
      <c r="I12">
        <v>2</v>
      </c>
      <c r="J12">
        <v>20</v>
      </c>
      <c r="K12">
        <v>2160</v>
      </c>
      <c r="L12">
        <f t="shared" si="16"/>
        <v>43200</v>
      </c>
      <c r="M12">
        <f t="shared" si="17"/>
        <v>49.399656946826759</v>
      </c>
      <c r="N12">
        <f t="shared" si="14"/>
        <v>43.2</v>
      </c>
    </row>
    <row r="13" spans="1:21">
      <c r="A13">
        <v>3</v>
      </c>
      <c r="B13">
        <v>851.54719590811317</v>
      </c>
      <c r="C13">
        <f t="shared" si="18"/>
        <v>141.92453265135219</v>
      </c>
      <c r="D13">
        <f t="shared" si="19"/>
        <v>141.92453265135219</v>
      </c>
      <c r="E13">
        <f t="shared" si="15"/>
        <v>141</v>
      </c>
      <c r="F13">
        <f t="shared" ref="F13:F14" si="20">E13*60</f>
        <v>8460</v>
      </c>
      <c r="G13">
        <f>E13*830.82</f>
        <v>117145.62000000001</v>
      </c>
      <c r="H13">
        <v>128</v>
      </c>
      <c r="I13">
        <v>3</v>
      </c>
      <c r="J13">
        <v>20</v>
      </c>
      <c r="K13">
        <v>2153</v>
      </c>
      <c r="L13">
        <f t="shared" si="16"/>
        <v>43060</v>
      </c>
      <c r="M13">
        <f t="shared" si="17"/>
        <v>49.239565465980561</v>
      </c>
      <c r="N13">
        <f t="shared" si="14"/>
        <v>43.06</v>
      </c>
    </row>
    <row r="14" spans="1:21">
      <c r="A14">
        <v>4</v>
      </c>
      <c r="B14">
        <v>934.06052708154175</v>
      </c>
      <c r="C14">
        <f t="shared" si="18"/>
        <v>155.67675451359028</v>
      </c>
      <c r="D14">
        <f t="shared" si="19"/>
        <v>155.67675451359028</v>
      </c>
      <c r="E14">
        <f t="shared" si="15"/>
        <v>155</v>
      </c>
      <c r="F14">
        <f t="shared" si="20"/>
        <v>9300</v>
      </c>
      <c r="G14">
        <f>E14*909.272</f>
        <v>140937.16</v>
      </c>
      <c r="H14">
        <v>180</v>
      </c>
      <c r="I14">
        <v>4</v>
      </c>
      <c r="J14">
        <v>20</v>
      </c>
      <c r="K14">
        <v>1204</v>
      </c>
      <c r="L14">
        <f t="shared" si="16"/>
        <v>24080</v>
      </c>
      <c r="M14">
        <f t="shared" si="17"/>
        <v>27.535734705546027</v>
      </c>
      <c r="N14">
        <f t="shared" si="14"/>
        <v>24.08</v>
      </c>
    </row>
    <row r="15" spans="1:21">
      <c r="C15">
        <f>SUM(C11:C14)</f>
        <v>351.56156767533525</v>
      </c>
      <c r="E15">
        <f>SUM(E11:E14)</f>
        <v>349</v>
      </c>
      <c r="K15">
        <f t="shared" ref="K15:L15" si="21">SUM(K10:K14)</f>
        <v>11405</v>
      </c>
      <c r="L15">
        <f t="shared" si="21"/>
        <v>228100</v>
      </c>
      <c r="M15">
        <f t="shared" si="17"/>
        <v>260.83476272155519</v>
      </c>
      <c r="N15">
        <f t="shared" si="14"/>
        <v>228.1</v>
      </c>
    </row>
    <row r="20" spans="1:14">
      <c r="A20" t="s">
        <v>150</v>
      </c>
      <c r="B20" t="s">
        <v>151</v>
      </c>
      <c r="C20" t="s">
        <v>145</v>
      </c>
      <c r="H20">
        <f>SUM(G11:G14)</f>
        <v>280622.35499999998</v>
      </c>
      <c r="L20" t="s">
        <v>154</v>
      </c>
      <c r="M20" t="s">
        <v>155</v>
      </c>
      <c r="N20" t="s">
        <v>54</v>
      </c>
    </row>
    <row r="21" spans="1:14">
      <c r="A21">
        <v>1</v>
      </c>
      <c r="B21">
        <f>F11</f>
        <v>3180</v>
      </c>
      <c r="C21">
        <f>B21/10</f>
        <v>318</v>
      </c>
      <c r="L21">
        <v>1</v>
      </c>
      <c r="M21">
        <f>E11*3</f>
        <v>159</v>
      </c>
      <c r="N21">
        <f>E11*657.829</f>
        <v>34864.936999999998</v>
      </c>
    </row>
    <row r="22" spans="1:14">
      <c r="A22">
        <v>2</v>
      </c>
      <c r="B22">
        <f t="shared" ref="B22:B23" si="22">F12</f>
        <v>0</v>
      </c>
      <c r="C22">
        <f t="shared" ref="C22:C24" si="23">B22/10</f>
        <v>0</v>
      </c>
      <c r="L22">
        <v>2</v>
      </c>
      <c r="M22">
        <f t="shared" ref="M22:M25" si="24">E12*3</f>
        <v>0</v>
      </c>
      <c r="N22">
        <v>0</v>
      </c>
    </row>
    <row r="23" spans="1:14">
      <c r="A23">
        <v>3</v>
      </c>
      <c r="B23">
        <f t="shared" si="22"/>
        <v>8460</v>
      </c>
      <c r="C23">
        <f t="shared" si="23"/>
        <v>846</v>
      </c>
      <c r="L23">
        <v>3</v>
      </c>
      <c r="M23">
        <f t="shared" si="24"/>
        <v>423</v>
      </c>
      <c r="N23">
        <f>E13*830.82</f>
        <v>117145.62000000001</v>
      </c>
    </row>
    <row r="24" spans="1:14">
      <c r="A24">
        <v>4</v>
      </c>
      <c r="B24">
        <f>F14</f>
        <v>9300</v>
      </c>
      <c r="C24">
        <f t="shared" si="23"/>
        <v>930</v>
      </c>
      <c r="L24">
        <v>4</v>
      </c>
      <c r="M24">
        <f t="shared" si="24"/>
        <v>465</v>
      </c>
      <c r="N24">
        <f>E14*909.272</f>
        <v>140937.16</v>
      </c>
    </row>
    <row r="25" spans="1:14">
      <c r="C25">
        <f>SUM(C21:C24)</f>
        <v>2094</v>
      </c>
      <c r="L25" t="s">
        <v>156</v>
      </c>
      <c r="M25">
        <f t="shared" si="24"/>
        <v>1047</v>
      </c>
      <c r="N25">
        <f>SUM(N21:N24)</f>
        <v>292947.717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5951-3B03-475E-88E9-E32385C691F8}">
  <dimension ref="A1:Y129"/>
  <sheetViews>
    <sheetView topLeftCell="SX1" zoomScale="85" zoomScaleNormal="85" workbookViewId="0">
      <selection activeCell="R3" sqref="R3"/>
    </sheetView>
  </sheetViews>
  <sheetFormatPr defaultRowHeight="14.45"/>
  <cols>
    <col min="7" max="8" width="19.28515625" customWidth="1"/>
    <col min="9" max="9" width="11.85546875" bestFit="1" customWidth="1"/>
    <col min="12" max="12" width="20.140625" customWidth="1"/>
    <col min="15" max="15" width="13.85546875" bestFit="1" customWidth="1"/>
    <col min="17" max="17" width="33.5703125" customWidth="1"/>
  </cols>
  <sheetData>
    <row r="1" spans="1:25">
      <c r="A1" s="4" t="s">
        <v>157</v>
      </c>
      <c r="B1" s="4"/>
      <c r="C1" s="4" t="s">
        <v>158</v>
      </c>
      <c r="D1" s="4" t="s">
        <v>159</v>
      </c>
      <c r="E1" s="4" t="s">
        <v>160</v>
      </c>
      <c r="F1" s="4" t="s">
        <v>161</v>
      </c>
      <c r="G1" s="4" t="s">
        <v>162</v>
      </c>
      <c r="H1" s="4" t="s">
        <v>163</v>
      </c>
      <c r="I1" s="4" t="s">
        <v>164</v>
      </c>
      <c r="J1" s="4" t="s">
        <v>165</v>
      </c>
      <c r="K1" s="4" t="s">
        <v>23</v>
      </c>
      <c r="L1" s="4" t="s">
        <v>19</v>
      </c>
      <c r="M1" s="4" t="s">
        <v>13</v>
      </c>
      <c r="N1" s="4" t="s">
        <v>166</v>
      </c>
      <c r="O1" s="4" t="s">
        <v>167</v>
      </c>
    </row>
    <row r="2" spans="1:25">
      <c r="A2" s="5" t="s">
        <v>168</v>
      </c>
      <c r="B2" s="5"/>
      <c r="C2" s="5"/>
      <c r="D2" s="5">
        <f>D4+D16</f>
        <v>535</v>
      </c>
      <c r="E2" s="5">
        <f>E4+E16+E3</f>
        <v>2300.4</v>
      </c>
      <c r="F2" s="5">
        <f>SUM(F3,F4,F16)</f>
        <v>497140</v>
      </c>
      <c r="G2" s="5">
        <f>G4+G16</f>
        <v>174</v>
      </c>
      <c r="H2" s="5">
        <f t="shared" ref="H2" si="0">H4+H16</f>
        <v>5650</v>
      </c>
      <c r="I2" s="5"/>
      <c r="J2" s="5"/>
      <c r="K2" s="5"/>
      <c r="L2" s="5"/>
      <c r="M2" s="5">
        <f>E2*R$8</f>
        <v>2300.4</v>
      </c>
      <c r="N2" s="5"/>
      <c r="O2" s="5"/>
      <c r="Q2" t="s">
        <v>35</v>
      </c>
      <c r="R2">
        <f>G2+G29+G55+G84+G109+G124</f>
        <v>709</v>
      </c>
      <c r="T2" s="14" t="str" cm="1">
        <f t="array" ref="T2:T8">_xlfn.UNIQUE(I:I,)</f>
        <v>Room Type</v>
      </c>
      <c r="U2" t="s">
        <v>100</v>
      </c>
      <c r="V2" t="s">
        <v>130</v>
      </c>
    </row>
    <row r="3" spans="1:25" s="14" customFormat="1" ht="15" thickBot="1">
      <c r="A3" s="6" t="s">
        <v>169</v>
      </c>
      <c r="B3" s="6"/>
      <c r="C3" s="6"/>
      <c r="D3" s="6" t="s">
        <v>170</v>
      </c>
      <c r="E3" s="6">
        <v>374</v>
      </c>
      <c r="F3" s="6"/>
      <c r="G3" s="6">
        <f t="shared" ref="G3" si="1">TRUNC(F3/3000)</f>
        <v>0</v>
      </c>
      <c r="H3" s="6"/>
      <c r="I3" s="6" t="s">
        <v>171</v>
      </c>
      <c r="J3" s="6"/>
      <c r="K3" s="6"/>
      <c r="L3" s="6"/>
      <c r="M3" s="6">
        <f>E3*R$8</f>
        <v>374</v>
      </c>
      <c r="N3" s="6"/>
      <c r="O3" s="6"/>
      <c r="Q3" s="14" t="s">
        <v>172</v>
      </c>
      <c r="R3" s="14">
        <f>D2+D29+D55+D84+D109+D106</f>
        <v>1359</v>
      </c>
      <c r="T3" s="14">
        <v>0</v>
      </c>
      <c r="V3" s="15"/>
    </row>
    <row r="4" spans="1:25" s="15" customFormat="1" ht="15" thickBot="1">
      <c r="A4" s="8" t="s">
        <v>173</v>
      </c>
      <c r="B4" s="8"/>
      <c r="C4" s="8"/>
      <c r="D4" s="8">
        <f>SUM(D5:D6)</f>
        <v>435</v>
      </c>
      <c r="E4" s="8">
        <f>SUM(E5:E15)</f>
        <v>1062.7</v>
      </c>
      <c r="F4" s="8">
        <f>SUM(F5:F13)</f>
        <v>253570</v>
      </c>
      <c r="G4" s="8">
        <f>SUM(G5:G15)</f>
        <v>94</v>
      </c>
      <c r="H4" s="8">
        <f t="shared" ref="H4" si="2">SUM(H5:H15)</f>
        <v>2600</v>
      </c>
      <c r="I4" s="8"/>
      <c r="J4" s="8"/>
      <c r="K4" s="8"/>
      <c r="L4" s="8"/>
      <c r="M4" s="8">
        <f>SUM(M5:M15)</f>
        <v>1062.7</v>
      </c>
      <c r="N4" s="8"/>
      <c r="O4" s="8"/>
      <c r="Q4" s="17" t="s">
        <v>174</v>
      </c>
      <c r="R4" s="17">
        <f>SUM(J:J)</f>
        <v>367</v>
      </c>
      <c r="T4" s="15" t="str">
        <v>Living room</v>
      </c>
      <c r="U4" s="15">
        <f>COUNTIF(I:I,T4)</f>
        <v>12</v>
      </c>
      <c r="V4" s="15">
        <f>SUMIF(I:I,T4,E:E)</f>
        <v>1448</v>
      </c>
      <c r="W4" s="15">
        <f>IF(T4="Office",300,IF(T4="WareHouse",200,IF(T4="Bathroom",500,IF(T4="Stair",100,IF(T4="Living room",150)))))</f>
        <v>150</v>
      </c>
      <c r="X4" s="15">
        <f>W4*V4</f>
        <v>217200</v>
      </c>
      <c r="Y4" s="15">
        <f>SUMIF(I:I,T4,G:G)</f>
        <v>48</v>
      </c>
    </row>
    <row r="5" spans="1:25" ht="15" thickBot="1">
      <c r="A5" t="s">
        <v>175</v>
      </c>
      <c r="D5">
        <v>85</v>
      </c>
      <c r="E5">
        <v>254</v>
      </c>
      <c r="F5">
        <f>E5*H5</f>
        <v>76200</v>
      </c>
      <c r="G5">
        <f>IF(TRUNC(F5/3000)=0,1,TRUNC(F5/3000,0))</f>
        <v>25</v>
      </c>
      <c r="H5">
        <f>IF(I5="Office",300,IF(I5="WareHouse",200,IF(I5="Bathroom",500,IF(I5="Stair",100,IF(I5="Living room",150)))))</f>
        <v>300</v>
      </c>
      <c r="I5" t="s">
        <v>176</v>
      </c>
      <c r="J5">
        <v>20</v>
      </c>
      <c r="K5">
        <v>2</v>
      </c>
      <c r="L5">
        <v>1</v>
      </c>
      <c r="M5">
        <f t="shared" ref="M5:M13" si="3">E5*R$8</f>
        <v>254</v>
      </c>
      <c r="N5">
        <f>D5/20</f>
        <v>4.25</v>
      </c>
      <c r="O5">
        <f>TRUNC(N5)</f>
        <v>4</v>
      </c>
      <c r="Q5" t="s">
        <v>19</v>
      </c>
      <c r="R5">
        <f>SUM(L:L)</f>
        <v>21</v>
      </c>
      <c r="T5" t="str">
        <v>Office</v>
      </c>
      <c r="U5" s="15">
        <f>COUNTIF(I:I,T5)</f>
        <v>49</v>
      </c>
      <c r="V5" s="15">
        <f>SUMIF(I:I,T5,E:E)</f>
        <v>4762</v>
      </c>
      <c r="W5" s="15">
        <f t="shared" ref="W5:W8" si="4">IF(T5="Office",300,IF(T5="WareHouse",200,IF(T5="Bathroom",500,IF(T5="Stair",100,IF(T5="Living room",150)))))</f>
        <v>300</v>
      </c>
      <c r="X5" s="15">
        <f t="shared" ref="X5:X8" si="5">W5*V5</f>
        <v>1428600</v>
      </c>
      <c r="Y5" s="15">
        <f>SUMIF(I:I,T5,G:G)</f>
        <v>454</v>
      </c>
    </row>
    <row r="6" spans="1:25" ht="15" thickBot="1">
      <c r="A6" t="s">
        <v>177</v>
      </c>
      <c r="D6" s="9">
        <v>350</v>
      </c>
      <c r="E6">
        <v>219</v>
      </c>
      <c r="F6">
        <f t="shared" ref="F6:F12" si="6">E6*H6</f>
        <v>65700</v>
      </c>
      <c r="G6">
        <f t="shared" ref="G6:G28" si="7">IF(TRUNC(F6/3000)=0,1,TRUNC(F6/3000,0))</f>
        <v>21</v>
      </c>
      <c r="H6">
        <f t="shared" ref="H6:H28" si="8">IF(I6="Office",300,IF(I6="WareHouse",200,IF(I6="Bathroom",500,IF(I6="Stair",100,IF(I6="Living room",150)))))</f>
        <v>300</v>
      </c>
      <c r="I6" t="s">
        <v>176</v>
      </c>
      <c r="L6">
        <v>2</v>
      </c>
      <c r="M6">
        <f t="shared" si="3"/>
        <v>219</v>
      </c>
      <c r="Q6" t="s">
        <v>178</v>
      </c>
      <c r="R6">
        <f>(R3-R4)/2</f>
        <v>496</v>
      </c>
      <c r="T6" t="str">
        <v>Warehouse</v>
      </c>
      <c r="U6" s="15">
        <f>COUNTIF(I:I,T6)</f>
        <v>5</v>
      </c>
      <c r="V6" s="15">
        <f>SUMIF(I:I,T6,E:E)</f>
        <v>537</v>
      </c>
      <c r="W6" s="15">
        <f t="shared" si="4"/>
        <v>200</v>
      </c>
      <c r="X6" s="15">
        <f t="shared" si="5"/>
        <v>107400</v>
      </c>
      <c r="Y6" s="15">
        <f>SUMIF(I:I,T6,G:G)</f>
        <v>34</v>
      </c>
    </row>
    <row r="7" spans="1:25" ht="15" thickBot="1">
      <c r="A7" t="s">
        <v>179</v>
      </c>
      <c r="D7" t="s">
        <v>170</v>
      </c>
      <c r="E7">
        <v>295</v>
      </c>
      <c r="F7">
        <f t="shared" si="6"/>
        <v>59000</v>
      </c>
      <c r="G7">
        <f t="shared" si="7"/>
        <v>19</v>
      </c>
      <c r="H7">
        <f t="shared" si="8"/>
        <v>200</v>
      </c>
      <c r="I7" t="s">
        <v>180</v>
      </c>
      <c r="M7">
        <f t="shared" si="3"/>
        <v>295</v>
      </c>
      <c r="Q7" t="s">
        <v>166</v>
      </c>
      <c r="R7">
        <f>SUM(O:O)</f>
        <v>26</v>
      </c>
      <c r="T7" t="str">
        <v>Bathroom</v>
      </c>
      <c r="U7" s="15">
        <f>COUNTIF(I:I,T7)</f>
        <v>9</v>
      </c>
      <c r="V7" s="15">
        <f>SUMIF(I:I,T7,E:E)</f>
        <v>546</v>
      </c>
      <c r="W7" s="15">
        <f t="shared" si="4"/>
        <v>500</v>
      </c>
      <c r="X7" s="15">
        <f t="shared" si="5"/>
        <v>273000</v>
      </c>
      <c r="Y7" s="15">
        <f>SUMIF(I:I,T7,G:G)</f>
        <v>88</v>
      </c>
    </row>
    <row r="8" spans="1:25" ht="15" thickBot="1">
      <c r="A8" t="s">
        <v>181</v>
      </c>
      <c r="D8" t="s">
        <v>170</v>
      </c>
      <c r="E8">
        <v>0</v>
      </c>
      <c r="F8">
        <f t="shared" si="6"/>
        <v>0</v>
      </c>
      <c r="G8">
        <f t="shared" si="7"/>
        <v>1</v>
      </c>
      <c r="H8">
        <f t="shared" si="8"/>
        <v>500</v>
      </c>
      <c r="I8" t="s">
        <v>182</v>
      </c>
      <c r="M8">
        <f t="shared" si="3"/>
        <v>0</v>
      </c>
      <c r="Q8" t="s">
        <v>183</v>
      </c>
      <c r="R8">
        <v>1</v>
      </c>
      <c r="T8" t="str">
        <v>Stair</v>
      </c>
      <c r="U8" s="15">
        <f>COUNTIF(I:I,T8)</f>
        <v>36</v>
      </c>
      <c r="V8" s="15">
        <f>SUMIF(I:I,T8,E:E)</f>
        <v>3795</v>
      </c>
      <c r="W8" s="15">
        <f t="shared" si="4"/>
        <v>100</v>
      </c>
      <c r="X8" s="15">
        <f t="shared" si="5"/>
        <v>379500</v>
      </c>
      <c r="Y8" s="15">
        <f>SUMIF(I:I,T8,G:G)</f>
        <v>137</v>
      </c>
    </row>
    <row r="9" spans="1:25" ht="15" thickBot="1">
      <c r="A9" t="s">
        <v>184</v>
      </c>
      <c r="D9" t="s">
        <v>170</v>
      </c>
      <c r="E9">
        <v>92</v>
      </c>
      <c r="F9">
        <f>E9*H9</f>
        <v>46000</v>
      </c>
      <c r="G9">
        <f t="shared" si="7"/>
        <v>15</v>
      </c>
      <c r="H9">
        <f t="shared" si="8"/>
        <v>500</v>
      </c>
      <c r="I9" t="s">
        <v>182</v>
      </c>
      <c r="M9">
        <f t="shared" si="3"/>
        <v>92</v>
      </c>
      <c r="Q9" t="s">
        <v>23</v>
      </c>
      <c r="R9">
        <f>SUM(K:K)</f>
        <v>31</v>
      </c>
      <c r="V9" s="15">
        <f>SUM(V4:V8)</f>
        <v>11088</v>
      </c>
      <c r="W9" s="15">
        <f t="shared" ref="W9:Y9" si="9">SUM(W4:W8)</f>
        <v>1250</v>
      </c>
      <c r="X9" s="15">
        <f t="shared" si="9"/>
        <v>2405700</v>
      </c>
      <c r="Y9" s="15">
        <f t="shared" si="9"/>
        <v>761</v>
      </c>
    </row>
    <row r="10" spans="1:25">
      <c r="A10" t="s">
        <v>185</v>
      </c>
      <c r="D10" t="s">
        <v>170</v>
      </c>
      <c r="E10">
        <v>19.350000000000001</v>
      </c>
      <c r="F10">
        <f t="shared" si="6"/>
        <v>1935.0000000000002</v>
      </c>
      <c r="G10">
        <f t="shared" si="7"/>
        <v>1</v>
      </c>
      <c r="H10">
        <f t="shared" si="8"/>
        <v>100</v>
      </c>
      <c r="I10" t="s">
        <v>186</v>
      </c>
      <c r="M10">
        <f t="shared" si="3"/>
        <v>19.350000000000001</v>
      </c>
      <c r="Q10" t="s">
        <v>187</v>
      </c>
      <c r="R10">
        <f>M2+M29+M55+M109+M84</f>
        <v>7767.2999999999993</v>
      </c>
    </row>
    <row r="11" spans="1:25">
      <c r="A11" t="s">
        <v>185</v>
      </c>
      <c r="D11" t="s">
        <v>170</v>
      </c>
      <c r="E11">
        <v>19.350000000000001</v>
      </c>
      <c r="F11">
        <f t="shared" si="6"/>
        <v>1935.0000000000002</v>
      </c>
      <c r="G11">
        <f t="shared" si="7"/>
        <v>1</v>
      </c>
      <c r="H11">
        <f t="shared" si="8"/>
        <v>100</v>
      </c>
      <c r="I11" t="s">
        <v>186</v>
      </c>
      <c r="M11">
        <f t="shared" si="3"/>
        <v>19.350000000000001</v>
      </c>
      <c r="Q11" t="s">
        <v>188</v>
      </c>
      <c r="R11">
        <v>110925</v>
      </c>
    </row>
    <row r="12" spans="1:25">
      <c r="A12" t="s">
        <v>185</v>
      </c>
      <c r="D12" t="s">
        <v>170</v>
      </c>
      <c r="E12">
        <v>18</v>
      </c>
      <c r="F12">
        <f t="shared" si="6"/>
        <v>1800</v>
      </c>
      <c r="G12">
        <f t="shared" si="7"/>
        <v>1</v>
      </c>
      <c r="H12">
        <f t="shared" si="8"/>
        <v>100</v>
      </c>
      <c r="I12" t="s">
        <v>186</v>
      </c>
      <c r="M12">
        <f t="shared" si="3"/>
        <v>18</v>
      </c>
      <c r="Q12" t="s">
        <v>189</v>
      </c>
      <c r="R12">
        <v>10091</v>
      </c>
    </row>
    <row r="13" spans="1:25">
      <c r="A13" t="s">
        <v>190</v>
      </c>
      <c r="D13" t="s">
        <v>170</v>
      </c>
      <c r="E13">
        <v>10</v>
      </c>
      <c r="F13">
        <f>E13*H13</f>
        <v>1000</v>
      </c>
      <c r="G13">
        <f t="shared" si="7"/>
        <v>1</v>
      </c>
      <c r="H13">
        <f t="shared" si="8"/>
        <v>100</v>
      </c>
      <c r="I13" t="s">
        <v>186</v>
      </c>
      <c r="M13">
        <f t="shared" si="3"/>
        <v>10</v>
      </c>
    </row>
    <row r="14" spans="1:25">
      <c r="A14" t="s">
        <v>191</v>
      </c>
      <c r="D14" t="s">
        <v>170</v>
      </c>
      <c r="E14">
        <v>106</v>
      </c>
      <c r="F14">
        <f t="shared" ref="F14:F15" si="10">E14*H14</f>
        <v>21200</v>
      </c>
      <c r="G14">
        <f t="shared" si="7"/>
        <v>7</v>
      </c>
      <c r="H14">
        <f t="shared" si="8"/>
        <v>200</v>
      </c>
      <c r="I14" t="s">
        <v>180</v>
      </c>
      <c r="M14">
        <f t="shared" ref="M14:M15" si="11">E14*R$8</f>
        <v>106</v>
      </c>
    </row>
    <row r="15" spans="1:25">
      <c r="A15" t="s">
        <v>192</v>
      </c>
      <c r="D15" t="s">
        <v>170</v>
      </c>
      <c r="E15">
        <v>30</v>
      </c>
      <c r="F15">
        <f t="shared" si="10"/>
        <v>6000</v>
      </c>
      <c r="G15">
        <f t="shared" si="7"/>
        <v>2</v>
      </c>
      <c r="H15">
        <f t="shared" si="8"/>
        <v>200</v>
      </c>
      <c r="I15" t="s">
        <v>180</v>
      </c>
      <c r="M15">
        <f t="shared" si="11"/>
        <v>30</v>
      </c>
    </row>
    <row r="16" spans="1:25" s="16" customFormat="1" ht="15" thickBot="1">
      <c r="A16" s="11" t="s">
        <v>193</v>
      </c>
      <c r="B16" s="11"/>
      <c r="C16" s="11"/>
      <c r="D16" s="11">
        <f>SUM(D17:D23)</f>
        <v>100</v>
      </c>
      <c r="E16" s="11">
        <f>SUM(E17:E28)</f>
        <v>863.7</v>
      </c>
      <c r="F16" s="11">
        <f>SUM(F17:F28)</f>
        <v>243570</v>
      </c>
      <c r="G16" s="11">
        <f t="shared" ref="G16:M16" si="12">SUM(G17:G28)</f>
        <v>80</v>
      </c>
      <c r="H16" s="11">
        <f t="shared" si="12"/>
        <v>3050</v>
      </c>
      <c r="I16" s="11"/>
      <c r="J16" s="11"/>
      <c r="K16" s="11"/>
      <c r="L16" s="11"/>
      <c r="M16" s="11">
        <f t="shared" si="12"/>
        <v>863.7</v>
      </c>
      <c r="N16" s="11"/>
      <c r="O16" s="11"/>
    </row>
    <row r="17" spans="1:15">
      <c r="A17" t="s">
        <v>194</v>
      </c>
      <c r="D17">
        <v>20</v>
      </c>
      <c r="E17">
        <v>116</v>
      </c>
      <c r="F17">
        <f t="shared" ref="F17:F28" si="13">E17*H17</f>
        <v>34800</v>
      </c>
      <c r="G17">
        <f t="shared" si="7"/>
        <v>11</v>
      </c>
      <c r="H17">
        <f t="shared" si="8"/>
        <v>300</v>
      </c>
      <c r="I17" t="s">
        <v>176</v>
      </c>
      <c r="J17">
        <v>20</v>
      </c>
      <c r="K17">
        <v>1</v>
      </c>
      <c r="M17">
        <f t="shared" ref="M17:M28" si="14">E17*R$8</f>
        <v>116</v>
      </c>
    </row>
    <row r="18" spans="1:15">
      <c r="A18" t="s">
        <v>195</v>
      </c>
      <c r="D18">
        <v>16</v>
      </c>
      <c r="E18">
        <v>111</v>
      </c>
      <c r="F18">
        <f t="shared" si="13"/>
        <v>33300</v>
      </c>
      <c r="G18">
        <f t="shared" si="7"/>
        <v>11</v>
      </c>
      <c r="H18">
        <f t="shared" si="8"/>
        <v>300</v>
      </c>
      <c r="I18" t="s">
        <v>176</v>
      </c>
      <c r="J18">
        <v>18</v>
      </c>
      <c r="K18">
        <v>1</v>
      </c>
      <c r="M18">
        <f t="shared" si="14"/>
        <v>111</v>
      </c>
    </row>
    <row r="19" spans="1:15">
      <c r="A19" t="s">
        <v>196</v>
      </c>
      <c r="D19">
        <v>11</v>
      </c>
      <c r="E19">
        <v>65</v>
      </c>
      <c r="F19">
        <f t="shared" si="13"/>
        <v>19500</v>
      </c>
      <c r="G19">
        <f t="shared" si="7"/>
        <v>6</v>
      </c>
      <c r="H19">
        <f t="shared" si="8"/>
        <v>300</v>
      </c>
      <c r="I19" t="s">
        <v>176</v>
      </c>
      <c r="J19">
        <v>10</v>
      </c>
      <c r="K19">
        <v>1</v>
      </c>
      <c r="M19">
        <f t="shared" si="14"/>
        <v>65</v>
      </c>
    </row>
    <row r="20" spans="1:15">
      <c r="A20" t="s">
        <v>197</v>
      </c>
      <c r="D20">
        <v>13</v>
      </c>
      <c r="E20">
        <v>81</v>
      </c>
      <c r="F20">
        <f t="shared" si="13"/>
        <v>24300</v>
      </c>
      <c r="G20">
        <f t="shared" si="7"/>
        <v>8</v>
      </c>
      <c r="H20">
        <f t="shared" si="8"/>
        <v>300</v>
      </c>
      <c r="I20" t="s">
        <v>176</v>
      </c>
      <c r="J20">
        <v>13</v>
      </c>
      <c r="K20">
        <v>1</v>
      </c>
      <c r="M20">
        <f t="shared" si="14"/>
        <v>81</v>
      </c>
    </row>
    <row r="21" spans="1:15">
      <c r="A21" t="s">
        <v>198</v>
      </c>
      <c r="D21">
        <v>13</v>
      </c>
      <c r="E21">
        <v>80</v>
      </c>
      <c r="F21">
        <f t="shared" si="13"/>
        <v>24000</v>
      </c>
      <c r="G21">
        <f t="shared" si="7"/>
        <v>8</v>
      </c>
      <c r="H21">
        <f t="shared" si="8"/>
        <v>300</v>
      </c>
      <c r="I21" t="s">
        <v>176</v>
      </c>
      <c r="J21">
        <v>13</v>
      </c>
      <c r="K21">
        <v>1</v>
      </c>
      <c r="M21">
        <f t="shared" si="14"/>
        <v>80</v>
      </c>
    </row>
    <row r="22" spans="1:15">
      <c r="A22" t="s">
        <v>199</v>
      </c>
      <c r="D22">
        <v>12</v>
      </c>
      <c r="E22">
        <v>72</v>
      </c>
      <c r="F22">
        <f t="shared" si="13"/>
        <v>21600</v>
      </c>
      <c r="G22">
        <f t="shared" si="7"/>
        <v>7</v>
      </c>
      <c r="H22">
        <f t="shared" si="8"/>
        <v>300</v>
      </c>
      <c r="I22" t="s">
        <v>176</v>
      </c>
      <c r="J22">
        <v>12</v>
      </c>
      <c r="K22">
        <v>1</v>
      </c>
      <c r="M22">
        <f t="shared" si="14"/>
        <v>72</v>
      </c>
    </row>
    <row r="23" spans="1:15">
      <c r="A23" t="s">
        <v>200</v>
      </c>
      <c r="D23">
        <v>15</v>
      </c>
      <c r="E23">
        <v>102</v>
      </c>
      <c r="F23">
        <f t="shared" si="13"/>
        <v>30600</v>
      </c>
      <c r="G23">
        <f t="shared" si="7"/>
        <v>10</v>
      </c>
      <c r="H23">
        <f t="shared" si="8"/>
        <v>300</v>
      </c>
      <c r="I23" t="s">
        <v>176</v>
      </c>
      <c r="L23">
        <v>1</v>
      </c>
      <c r="M23">
        <f t="shared" si="14"/>
        <v>102</v>
      </c>
    </row>
    <row r="24" spans="1:15">
      <c r="A24" t="s">
        <v>201</v>
      </c>
      <c r="D24">
        <f>SUM(D17:D22)</f>
        <v>85</v>
      </c>
      <c r="E24">
        <v>124</v>
      </c>
      <c r="F24">
        <f t="shared" si="13"/>
        <v>18600</v>
      </c>
      <c r="G24">
        <f t="shared" si="7"/>
        <v>6</v>
      </c>
      <c r="H24">
        <f t="shared" si="8"/>
        <v>150</v>
      </c>
      <c r="I24" t="s">
        <v>171</v>
      </c>
      <c r="L24">
        <v>1</v>
      </c>
      <c r="M24">
        <f t="shared" si="14"/>
        <v>124</v>
      </c>
      <c r="N24">
        <f>D24/20</f>
        <v>4.25</v>
      </c>
      <c r="O24">
        <f>TRUNC(N24)</f>
        <v>4</v>
      </c>
    </row>
    <row r="25" spans="1:15">
      <c r="A25" t="s">
        <v>202</v>
      </c>
      <c r="D25" t="s">
        <v>170</v>
      </c>
      <c r="E25">
        <v>64</v>
      </c>
      <c r="F25">
        <f t="shared" si="13"/>
        <v>32000</v>
      </c>
      <c r="G25">
        <f t="shared" si="7"/>
        <v>10</v>
      </c>
      <c r="H25">
        <f t="shared" si="8"/>
        <v>500</v>
      </c>
      <c r="I25" t="s">
        <v>182</v>
      </c>
      <c r="M25">
        <f t="shared" si="14"/>
        <v>64</v>
      </c>
    </row>
    <row r="26" spans="1:15">
      <c r="A26" t="s">
        <v>190</v>
      </c>
      <c r="D26" t="s">
        <v>170</v>
      </c>
      <c r="E26">
        <v>10</v>
      </c>
      <c r="F26">
        <f t="shared" si="13"/>
        <v>1000</v>
      </c>
      <c r="G26">
        <f t="shared" si="7"/>
        <v>1</v>
      </c>
      <c r="H26">
        <f t="shared" si="8"/>
        <v>100</v>
      </c>
      <c r="I26" t="s">
        <v>186</v>
      </c>
      <c r="M26">
        <f t="shared" si="14"/>
        <v>10</v>
      </c>
    </row>
    <row r="27" spans="1:15">
      <c r="A27" t="s">
        <v>185</v>
      </c>
      <c r="D27" t="s">
        <v>170</v>
      </c>
      <c r="E27">
        <v>19.350000000000001</v>
      </c>
      <c r="F27">
        <f t="shared" si="13"/>
        <v>1935.0000000000002</v>
      </c>
      <c r="G27">
        <f t="shared" si="7"/>
        <v>1</v>
      </c>
      <c r="H27">
        <f t="shared" si="8"/>
        <v>100</v>
      </c>
      <c r="I27" t="s">
        <v>186</v>
      </c>
      <c r="M27">
        <f t="shared" si="14"/>
        <v>19.350000000000001</v>
      </c>
    </row>
    <row r="28" spans="1:15">
      <c r="A28" t="s">
        <v>185</v>
      </c>
      <c r="D28" t="s">
        <v>170</v>
      </c>
      <c r="E28">
        <v>19.350000000000001</v>
      </c>
      <c r="F28">
        <f t="shared" si="13"/>
        <v>1935.0000000000002</v>
      </c>
      <c r="G28">
        <f t="shared" si="7"/>
        <v>1</v>
      </c>
      <c r="H28">
        <f t="shared" si="8"/>
        <v>100</v>
      </c>
      <c r="I28" t="s">
        <v>186</v>
      </c>
      <c r="M28">
        <f t="shared" si="14"/>
        <v>19.350000000000001</v>
      </c>
    </row>
    <row r="29" spans="1:15">
      <c r="A29" s="4" t="s">
        <v>203</v>
      </c>
      <c r="B29" s="4"/>
      <c r="C29" s="4"/>
      <c r="D29" s="4">
        <f>D31+D42</f>
        <v>265</v>
      </c>
      <c r="E29" s="4">
        <f>E31+E42</f>
        <v>1870.75</v>
      </c>
      <c r="F29" s="4">
        <f>SUM(F31,F42)</f>
        <v>550475</v>
      </c>
      <c r="G29" s="4">
        <f>G31+G42</f>
        <v>181</v>
      </c>
      <c r="H29" s="4">
        <f t="shared" ref="H29" si="15">H31+H42</f>
        <v>5450</v>
      </c>
      <c r="I29" s="4"/>
      <c r="J29" s="4"/>
      <c r="K29" s="4"/>
      <c r="L29" s="4"/>
      <c r="M29" s="4">
        <f>M31+M42</f>
        <v>1870.75</v>
      </c>
      <c r="N29" s="4"/>
      <c r="O29" s="4"/>
    </row>
    <row r="30" spans="1:15" s="14" customFormat="1">
      <c r="A30" s="6" t="s">
        <v>169</v>
      </c>
      <c r="B30" s="6"/>
      <c r="C30" s="6"/>
      <c r="D30" s="6" t="s">
        <v>170</v>
      </c>
      <c r="E30" s="6">
        <v>374</v>
      </c>
      <c r="F30" s="6"/>
      <c r="G30" s="6">
        <f>TRUNC(F30/3000)</f>
        <v>0</v>
      </c>
      <c r="H30" s="6"/>
      <c r="I30" s="6"/>
      <c r="J30" s="6"/>
      <c r="K30" s="6"/>
      <c r="L30" s="6"/>
      <c r="M30" s="6">
        <f>E30*R$8</f>
        <v>374</v>
      </c>
      <c r="N30" s="6"/>
      <c r="O30" s="6"/>
    </row>
    <row r="31" spans="1:15" s="15" customFormat="1" ht="15" thickBot="1">
      <c r="A31" s="8" t="s">
        <v>173</v>
      </c>
      <c r="B31" s="8"/>
      <c r="C31" s="8"/>
      <c r="D31" s="8">
        <f>SUM(D32:D36)</f>
        <v>165</v>
      </c>
      <c r="E31" s="8">
        <f>SUM(E32:E41)</f>
        <v>1007.0500000000001</v>
      </c>
      <c r="F31" s="8">
        <f>SUM(F32:F41)</f>
        <v>306905</v>
      </c>
      <c r="G31" s="8">
        <f t="shared" ref="G31:M31" si="16">SUM(G32:G41)</f>
        <v>101</v>
      </c>
      <c r="H31" s="8">
        <f t="shared" si="16"/>
        <v>2400</v>
      </c>
      <c r="I31" s="8"/>
      <c r="J31" s="8"/>
      <c r="K31" s="8"/>
      <c r="L31" s="8"/>
      <c r="M31" s="8">
        <f t="shared" si="16"/>
        <v>1007.0500000000001</v>
      </c>
      <c r="N31" s="8"/>
      <c r="O31" s="8"/>
    </row>
    <row r="32" spans="1:15">
      <c r="A32" t="s">
        <v>175</v>
      </c>
      <c r="D32">
        <v>85</v>
      </c>
      <c r="E32">
        <v>254</v>
      </c>
      <c r="F32">
        <f t="shared" ref="F32:F41" si="17">E32*H32</f>
        <v>76200</v>
      </c>
      <c r="G32">
        <f t="shared" ref="G32:G54" si="18">IF(TRUNC(F32/3000)=0,1,TRUNC(F32/3000,0))</f>
        <v>25</v>
      </c>
      <c r="H32">
        <f t="shared" ref="H32:H83" si="19">IF(I32="Office",300,IF(I32="WareHouse",200,IF(I32="Bathroom",500,IF(I32="Stair",100,IF(I32="Living room",150)))))</f>
        <v>300</v>
      </c>
      <c r="I32" t="s">
        <v>176</v>
      </c>
      <c r="K32">
        <v>2</v>
      </c>
      <c r="L32">
        <v>1</v>
      </c>
      <c r="M32">
        <f t="shared" ref="M32:M41" si="20">E32*R$8</f>
        <v>254</v>
      </c>
      <c r="N32">
        <f>D32/20</f>
        <v>4.25</v>
      </c>
      <c r="O32">
        <f>TRUNC(N32)</f>
        <v>4</v>
      </c>
    </row>
    <row r="33" spans="1:15">
      <c r="A33" t="s">
        <v>177</v>
      </c>
      <c r="D33" s="9" t="s">
        <v>170</v>
      </c>
      <c r="E33">
        <v>309</v>
      </c>
      <c r="F33">
        <f t="shared" si="17"/>
        <v>92700</v>
      </c>
      <c r="G33">
        <f t="shared" si="18"/>
        <v>30</v>
      </c>
      <c r="H33">
        <f t="shared" si="19"/>
        <v>300</v>
      </c>
      <c r="I33" t="s">
        <v>176</v>
      </c>
      <c r="M33">
        <f t="shared" si="20"/>
        <v>309</v>
      </c>
    </row>
    <row r="34" spans="1:15">
      <c r="A34" t="s">
        <v>204</v>
      </c>
      <c r="D34">
        <v>31</v>
      </c>
      <c r="E34">
        <v>159</v>
      </c>
      <c r="F34">
        <f t="shared" si="17"/>
        <v>47700</v>
      </c>
      <c r="G34">
        <f t="shared" si="18"/>
        <v>15</v>
      </c>
      <c r="H34">
        <f t="shared" si="19"/>
        <v>300</v>
      </c>
      <c r="I34" t="s">
        <v>176</v>
      </c>
      <c r="K34">
        <v>1</v>
      </c>
      <c r="L34">
        <v>1</v>
      </c>
      <c r="M34">
        <f t="shared" si="20"/>
        <v>159</v>
      </c>
    </row>
    <row r="35" spans="1:15">
      <c r="A35" t="s">
        <v>205</v>
      </c>
      <c r="D35">
        <v>25</v>
      </c>
      <c r="E35">
        <v>64</v>
      </c>
      <c r="F35">
        <f t="shared" si="17"/>
        <v>19200</v>
      </c>
      <c r="G35">
        <f t="shared" si="18"/>
        <v>6</v>
      </c>
      <c r="H35">
        <f t="shared" si="19"/>
        <v>300</v>
      </c>
      <c r="I35" t="s">
        <v>176</v>
      </c>
      <c r="L35">
        <v>1</v>
      </c>
      <c r="M35">
        <f t="shared" si="20"/>
        <v>64</v>
      </c>
    </row>
    <row r="36" spans="1:15" ht="28.9">
      <c r="A36" s="10" t="s">
        <v>205</v>
      </c>
      <c r="D36">
        <v>24</v>
      </c>
      <c r="E36">
        <v>61</v>
      </c>
      <c r="F36">
        <f t="shared" si="17"/>
        <v>18300</v>
      </c>
      <c r="G36">
        <f t="shared" si="18"/>
        <v>6</v>
      </c>
      <c r="H36">
        <f t="shared" si="19"/>
        <v>300</v>
      </c>
      <c r="I36" t="s">
        <v>176</v>
      </c>
      <c r="L36">
        <v>1</v>
      </c>
      <c r="M36">
        <f t="shared" si="20"/>
        <v>61</v>
      </c>
    </row>
    <row r="37" spans="1:15">
      <c r="A37" t="s">
        <v>206</v>
      </c>
      <c r="D37" t="s">
        <v>170</v>
      </c>
      <c r="E37">
        <v>92</v>
      </c>
      <c r="F37">
        <f t="shared" si="17"/>
        <v>46000</v>
      </c>
      <c r="G37">
        <f t="shared" si="18"/>
        <v>15</v>
      </c>
      <c r="H37">
        <f t="shared" si="19"/>
        <v>500</v>
      </c>
      <c r="I37" t="s">
        <v>182</v>
      </c>
      <c r="M37">
        <f t="shared" si="20"/>
        <v>92</v>
      </c>
    </row>
    <row r="38" spans="1:15">
      <c r="A38" t="s">
        <v>185</v>
      </c>
      <c r="D38" t="s">
        <v>170</v>
      </c>
      <c r="E38">
        <v>19.350000000000001</v>
      </c>
      <c r="F38">
        <f t="shared" si="17"/>
        <v>1935.0000000000002</v>
      </c>
      <c r="G38">
        <f t="shared" si="18"/>
        <v>1</v>
      </c>
      <c r="H38">
        <f t="shared" si="19"/>
        <v>100</v>
      </c>
      <c r="I38" t="s">
        <v>186</v>
      </c>
      <c r="M38">
        <f t="shared" si="20"/>
        <v>19.350000000000001</v>
      </c>
    </row>
    <row r="39" spans="1:15">
      <c r="A39" t="s">
        <v>185</v>
      </c>
      <c r="D39" t="s">
        <v>170</v>
      </c>
      <c r="E39">
        <v>19.350000000000001</v>
      </c>
      <c r="F39">
        <f t="shared" si="17"/>
        <v>1935.0000000000002</v>
      </c>
      <c r="G39">
        <f t="shared" si="18"/>
        <v>1</v>
      </c>
      <c r="H39">
        <f t="shared" si="19"/>
        <v>100</v>
      </c>
      <c r="I39" t="s">
        <v>186</v>
      </c>
      <c r="M39">
        <f t="shared" si="20"/>
        <v>19.350000000000001</v>
      </c>
    </row>
    <row r="40" spans="1:15">
      <c r="A40" t="s">
        <v>185</v>
      </c>
      <c r="D40" t="s">
        <v>170</v>
      </c>
      <c r="E40">
        <v>19.350000000000001</v>
      </c>
      <c r="F40">
        <f t="shared" si="17"/>
        <v>1935.0000000000002</v>
      </c>
      <c r="G40">
        <f t="shared" si="18"/>
        <v>1</v>
      </c>
      <c r="H40">
        <f t="shared" si="19"/>
        <v>100</v>
      </c>
      <c r="I40" t="s">
        <v>186</v>
      </c>
      <c r="M40">
        <f t="shared" si="20"/>
        <v>19.350000000000001</v>
      </c>
    </row>
    <row r="41" spans="1:15">
      <c r="A41" t="s">
        <v>190</v>
      </c>
      <c r="D41" t="s">
        <v>170</v>
      </c>
      <c r="E41">
        <v>10</v>
      </c>
      <c r="F41">
        <f t="shared" si="17"/>
        <v>1000</v>
      </c>
      <c r="G41">
        <f t="shared" si="18"/>
        <v>1</v>
      </c>
      <c r="H41">
        <f t="shared" si="19"/>
        <v>100</v>
      </c>
      <c r="I41" t="s">
        <v>186</v>
      </c>
      <c r="M41">
        <f t="shared" si="20"/>
        <v>10</v>
      </c>
    </row>
    <row r="42" spans="1:15" s="16" customFormat="1" ht="15" thickBot="1">
      <c r="A42" s="11" t="s">
        <v>193</v>
      </c>
      <c r="B42" s="11"/>
      <c r="C42" s="11"/>
      <c r="D42" s="11">
        <f>SUM(D43:D49)</f>
        <v>100</v>
      </c>
      <c r="E42" s="11">
        <f>SUM(E43:E54)</f>
        <v>863.7</v>
      </c>
      <c r="F42" s="11">
        <f>SUM(F43:F54)</f>
        <v>243570</v>
      </c>
      <c r="G42" s="11">
        <f>SUM(G43:G54)</f>
        <v>80</v>
      </c>
      <c r="H42" s="11">
        <f t="shared" ref="H42:M42" si="21">SUM(H43:H54)</f>
        <v>3050</v>
      </c>
      <c r="I42" s="11"/>
      <c r="J42" s="11"/>
      <c r="K42" s="11"/>
      <c r="L42" s="11"/>
      <c r="M42" s="11">
        <f t="shared" si="21"/>
        <v>863.7</v>
      </c>
      <c r="N42" s="11"/>
      <c r="O42" s="11"/>
    </row>
    <row r="43" spans="1:15">
      <c r="A43" t="s">
        <v>207</v>
      </c>
      <c r="D43">
        <v>20</v>
      </c>
      <c r="E43">
        <v>116</v>
      </c>
      <c r="F43">
        <f t="shared" ref="F43:F54" si="22">E43*H43</f>
        <v>34800</v>
      </c>
      <c r="G43">
        <f t="shared" si="18"/>
        <v>11</v>
      </c>
      <c r="H43">
        <f t="shared" si="19"/>
        <v>300</v>
      </c>
      <c r="I43" t="s">
        <v>176</v>
      </c>
      <c r="J43">
        <v>20</v>
      </c>
      <c r="K43">
        <v>1</v>
      </c>
      <c r="M43">
        <f t="shared" ref="M43:M54" si="23">E43*R$8</f>
        <v>116</v>
      </c>
    </row>
    <row r="44" spans="1:15">
      <c r="A44" t="s">
        <v>208</v>
      </c>
      <c r="D44">
        <v>16</v>
      </c>
      <c r="E44">
        <v>111</v>
      </c>
      <c r="F44">
        <f t="shared" si="22"/>
        <v>33300</v>
      </c>
      <c r="G44">
        <f t="shared" si="18"/>
        <v>11</v>
      </c>
      <c r="H44">
        <f t="shared" si="19"/>
        <v>300</v>
      </c>
      <c r="I44" t="s">
        <v>176</v>
      </c>
      <c r="J44">
        <v>16</v>
      </c>
      <c r="K44">
        <v>1</v>
      </c>
      <c r="M44">
        <f t="shared" si="23"/>
        <v>111</v>
      </c>
    </row>
    <row r="45" spans="1:15">
      <c r="A45" t="s">
        <v>209</v>
      </c>
      <c r="D45">
        <v>11</v>
      </c>
      <c r="E45">
        <v>65</v>
      </c>
      <c r="F45">
        <f t="shared" si="22"/>
        <v>19500</v>
      </c>
      <c r="G45">
        <f t="shared" si="18"/>
        <v>6</v>
      </c>
      <c r="H45">
        <f t="shared" si="19"/>
        <v>300</v>
      </c>
      <c r="I45" t="s">
        <v>176</v>
      </c>
      <c r="J45">
        <v>11</v>
      </c>
      <c r="K45">
        <v>1</v>
      </c>
      <c r="M45">
        <f t="shared" si="23"/>
        <v>65</v>
      </c>
    </row>
    <row r="46" spans="1:15">
      <c r="A46" t="s">
        <v>210</v>
      </c>
      <c r="D46">
        <v>13</v>
      </c>
      <c r="E46">
        <v>81</v>
      </c>
      <c r="F46">
        <f t="shared" si="22"/>
        <v>24300</v>
      </c>
      <c r="G46">
        <f t="shared" si="18"/>
        <v>8</v>
      </c>
      <c r="H46">
        <f t="shared" si="19"/>
        <v>300</v>
      </c>
      <c r="I46" t="s">
        <v>176</v>
      </c>
      <c r="J46">
        <v>13</v>
      </c>
      <c r="K46">
        <v>1</v>
      </c>
      <c r="M46">
        <f t="shared" si="23"/>
        <v>81</v>
      </c>
    </row>
    <row r="47" spans="1:15">
      <c r="A47" t="s">
        <v>211</v>
      </c>
      <c r="D47">
        <v>13</v>
      </c>
      <c r="E47">
        <v>80</v>
      </c>
      <c r="F47">
        <f t="shared" si="22"/>
        <v>24000</v>
      </c>
      <c r="G47">
        <f t="shared" si="18"/>
        <v>8</v>
      </c>
      <c r="H47">
        <f t="shared" si="19"/>
        <v>300</v>
      </c>
      <c r="I47" t="s">
        <v>176</v>
      </c>
      <c r="J47">
        <v>11</v>
      </c>
      <c r="K47">
        <v>1</v>
      </c>
      <c r="M47">
        <f t="shared" si="23"/>
        <v>80</v>
      </c>
    </row>
    <row r="48" spans="1:15">
      <c r="A48" t="s">
        <v>212</v>
      </c>
      <c r="D48">
        <v>12</v>
      </c>
      <c r="E48">
        <v>72</v>
      </c>
      <c r="F48">
        <f t="shared" si="22"/>
        <v>21600</v>
      </c>
      <c r="G48">
        <f t="shared" si="18"/>
        <v>7</v>
      </c>
      <c r="H48">
        <f t="shared" si="19"/>
        <v>300</v>
      </c>
      <c r="I48" t="s">
        <v>176</v>
      </c>
      <c r="J48">
        <v>12</v>
      </c>
      <c r="K48">
        <v>1</v>
      </c>
      <c r="M48">
        <f t="shared" si="23"/>
        <v>72</v>
      </c>
    </row>
    <row r="49" spans="1:15">
      <c r="A49" t="s">
        <v>200</v>
      </c>
      <c r="D49">
        <v>15</v>
      </c>
      <c r="E49">
        <v>102</v>
      </c>
      <c r="F49">
        <f t="shared" si="22"/>
        <v>30600</v>
      </c>
      <c r="G49">
        <f t="shared" si="18"/>
        <v>10</v>
      </c>
      <c r="H49">
        <f t="shared" si="19"/>
        <v>300</v>
      </c>
      <c r="I49" t="s">
        <v>176</v>
      </c>
      <c r="J49">
        <v>15</v>
      </c>
      <c r="L49">
        <v>1</v>
      </c>
      <c r="M49">
        <f t="shared" si="23"/>
        <v>102</v>
      </c>
    </row>
    <row r="50" spans="1:15">
      <c r="A50" t="s">
        <v>201</v>
      </c>
      <c r="D50">
        <f>SUM(D43:D48)</f>
        <v>85</v>
      </c>
      <c r="E50">
        <v>124</v>
      </c>
      <c r="F50">
        <f t="shared" si="22"/>
        <v>18600</v>
      </c>
      <c r="G50">
        <f t="shared" si="18"/>
        <v>6</v>
      </c>
      <c r="H50">
        <f t="shared" si="19"/>
        <v>150</v>
      </c>
      <c r="I50" t="s">
        <v>171</v>
      </c>
      <c r="L50">
        <v>1</v>
      </c>
      <c r="M50">
        <f t="shared" si="23"/>
        <v>124</v>
      </c>
      <c r="N50">
        <f>D50/20</f>
        <v>4.25</v>
      </c>
      <c r="O50">
        <f>TRUNC(N50)</f>
        <v>4</v>
      </c>
    </row>
    <row r="51" spans="1:15">
      <c r="A51" t="s">
        <v>213</v>
      </c>
      <c r="D51" t="s">
        <v>170</v>
      </c>
      <c r="E51">
        <v>64</v>
      </c>
      <c r="F51">
        <f t="shared" si="22"/>
        <v>32000</v>
      </c>
      <c r="G51">
        <f t="shared" si="18"/>
        <v>10</v>
      </c>
      <c r="H51">
        <f t="shared" si="19"/>
        <v>500</v>
      </c>
      <c r="I51" t="s">
        <v>182</v>
      </c>
      <c r="M51">
        <f t="shared" si="23"/>
        <v>64</v>
      </c>
    </row>
    <row r="52" spans="1:15">
      <c r="A52" t="s">
        <v>190</v>
      </c>
      <c r="D52" t="s">
        <v>170</v>
      </c>
      <c r="E52">
        <v>10</v>
      </c>
      <c r="F52">
        <f t="shared" si="22"/>
        <v>1000</v>
      </c>
      <c r="G52">
        <f t="shared" si="18"/>
        <v>1</v>
      </c>
      <c r="H52">
        <f t="shared" si="19"/>
        <v>100</v>
      </c>
      <c r="I52" t="s">
        <v>186</v>
      </c>
      <c r="M52">
        <f t="shared" si="23"/>
        <v>10</v>
      </c>
    </row>
    <row r="53" spans="1:15">
      <c r="A53" t="s">
        <v>185</v>
      </c>
      <c r="D53" t="s">
        <v>170</v>
      </c>
      <c r="E53">
        <v>19.350000000000001</v>
      </c>
      <c r="F53">
        <f t="shared" si="22"/>
        <v>1935.0000000000002</v>
      </c>
      <c r="G53">
        <f t="shared" si="18"/>
        <v>1</v>
      </c>
      <c r="H53">
        <f t="shared" si="19"/>
        <v>100</v>
      </c>
      <c r="I53" t="s">
        <v>186</v>
      </c>
      <c r="M53">
        <f t="shared" si="23"/>
        <v>19.350000000000001</v>
      </c>
    </row>
    <row r="54" spans="1:15">
      <c r="A54" t="s">
        <v>185</v>
      </c>
      <c r="D54" t="s">
        <v>170</v>
      </c>
      <c r="E54">
        <v>19.350000000000001</v>
      </c>
      <c r="F54">
        <f t="shared" si="22"/>
        <v>1935.0000000000002</v>
      </c>
      <c r="G54">
        <f t="shared" si="18"/>
        <v>1</v>
      </c>
      <c r="H54">
        <f t="shared" si="19"/>
        <v>100</v>
      </c>
      <c r="I54" t="s">
        <v>186</v>
      </c>
      <c r="M54">
        <f t="shared" si="23"/>
        <v>19.350000000000001</v>
      </c>
    </row>
    <row r="55" spans="1:15">
      <c r="A55" s="4" t="s">
        <v>214</v>
      </c>
      <c r="B55" s="4"/>
      <c r="C55" s="4"/>
      <c r="D55" s="4">
        <f>D57+D75</f>
        <v>223</v>
      </c>
      <c r="E55" s="4">
        <f>E57+E75</f>
        <v>1606.0500000000002</v>
      </c>
      <c r="F55" s="4">
        <f>SUM(F57,F75)</f>
        <v>451705</v>
      </c>
      <c r="G55" s="4">
        <f>SUM(G57,G75)</f>
        <v>144</v>
      </c>
      <c r="H55" s="4">
        <f t="shared" ref="H55" si="24">SUM(H57,H75)</f>
        <v>6250</v>
      </c>
      <c r="I55" s="4"/>
      <c r="J55" s="4"/>
      <c r="K55" s="4"/>
      <c r="L55" s="4"/>
      <c r="M55" s="4">
        <f>SUM(M57,M75)</f>
        <v>1606.0500000000002</v>
      </c>
      <c r="N55" s="4"/>
      <c r="O55" s="4"/>
    </row>
    <row r="56" spans="1:15" s="14" customFormat="1">
      <c r="A56" s="6" t="s">
        <v>169</v>
      </c>
      <c r="B56" s="6"/>
      <c r="C56" s="6"/>
      <c r="D56" s="6" t="s">
        <v>170</v>
      </c>
      <c r="E56" s="6">
        <v>374</v>
      </c>
      <c r="F56" s="6"/>
      <c r="G56" s="6">
        <f t="shared" ref="G56" si="25">TRUNC(F56/3000)</f>
        <v>0</v>
      </c>
      <c r="H56" s="6"/>
      <c r="I56" s="6"/>
      <c r="J56" s="6"/>
      <c r="K56" s="6"/>
      <c r="L56" s="6"/>
      <c r="M56" s="6">
        <f>E56*R$8</f>
        <v>374</v>
      </c>
      <c r="N56" s="6"/>
      <c r="O56" s="6"/>
    </row>
    <row r="57" spans="1:15" s="15" customFormat="1" ht="15" thickBot="1">
      <c r="A57" s="8" t="s">
        <v>215</v>
      </c>
      <c r="B57" s="8"/>
      <c r="C57" s="8"/>
      <c r="D57" s="8">
        <f>SUM(D58:D67)</f>
        <v>153</v>
      </c>
      <c r="E57" s="8">
        <f>SUM(E58:E74)</f>
        <v>951.05000000000007</v>
      </c>
      <c r="F57" s="8">
        <f>SUM(F58:F74)</f>
        <v>266605</v>
      </c>
      <c r="G57" s="8">
        <f>SUM(G58:G74)</f>
        <v>84</v>
      </c>
      <c r="H57" s="8">
        <f t="shared" ref="H57:M57" si="26">SUM(H58:H74)</f>
        <v>4200</v>
      </c>
      <c r="I57" s="8"/>
      <c r="J57" s="8"/>
      <c r="K57" s="8"/>
      <c r="L57" s="8"/>
      <c r="M57" s="8">
        <f t="shared" si="26"/>
        <v>951.05000000000007</v>
      </c>
      <c r="N57" s="8"/>
      <c r="O57" s="8"/>
    </row>
    <row r="58" spans="1:15">
      <c r="A58" t="s">
        <v>216</v>
      </c>
      <c r="D58">
        <v>65</v>
      </c>
      <c r="E58">
        <v>216</v>
      </c>
      <c r="F58">
        <f t="shared" ref="F58:F74" si="27">E58*H58</f>
        <v>64800</v>
      </c>
      <c r="G58">
        <f t="shared" ref="G58:G83" si="28">IF(TRUNC(F58/3000)=0,1,TRUNC(F58/3000,0))</f>
        <v>21</v>
      </c>
      <c r="H58">
        <f t="shared" si="19"/>
        <v>300</v>
      </c>
      <c r="I58" t="s">
        <v>176</v>
      </c>
      <c r="L58">
        <v>2</v>
      </c>
      <c r="M58">
        <f t="shared" ref="M58:M74" si="29">E58*R$8</f>
        <v>216</v>
      </c>
    </row>
    <row r="59" spans="1:15">
      <c r="A59" t="s">
        <v>217</v>
      </c>
      <c r="D59">
        <v>12</v>
      </c>
      <c r="E59">
        <v>73</v>
      </c>
      <c r="F59">
        <f t="shared" si="27"/>
        <v>21900</v>
      </c>
      <c r="G59">
        <f t="shared" si="28"/>
        <v>7</v>
      </c>
      <c r="H59">
        <f t="shared" si="19"/>
        <v>300</v>
      </c>
      <c r="I59" t="s">
        <v>176</v>
      </c>
      <c r="L59">
        <v>1</v>
      </c>
      <c r="M59">
        <f t="shared" si="29"/>
        <v>73</v>
      </c>
    </row>
    <row r="60" spans="1:15">
      <c r="A60" t="s">
        <v>218</v>
      </c>
      <c r="D60">
        <v>12</v>
      </c>
      <c r="E60">
        <v>71</v>
      </c>
      <c r="F60">
        <f t="shared" si="27"/>
        <v>21300</v>
      </c>
      <c r="G60">
        <f t="shared" si="28"/>
        <v>7</v>
      </c>
      <c r="H60">
        <f t="shared" si="19"/>
        <v>300</v>
      </c>
      <c r="I60" t="s">
        <v>176</v>
      </c>
      <c r="L60">
        <v>1</v>
      </c>
      <c r="M60">
        <f t="shared" si="29"/>
        <v>71</v>
      </c>
    </row>
    <row r="61" spans="1:15">
      <c r="A61" t="s">
        <v>219</v>
      </c>
      <c r="D61">
        <v>6</v>
      </c>
      <c r="E61">
        <v>29</v>
      </c>
      <c r="F61">
        <f t="shared" si="27"/>
        <v>8700</v>
      </c>
      <c r="G61">
        <f t="shared" si="28"/>
        <v>2</v>
      </c>
      <c r="H61">
        <f t="shared" si="19"/>
        <v>300</v>
      </c>
      <c r="I61" t="s">
        <v>176</v>
      </c>
      <c r="J61">
        <v>6</v>
      </c>
      <c r="K61">
        <v>1</v>
      </c>
      <c r="M61">
        <f t="shared" si="29"/>
        <v>29</v>
      </c>
    </row>
    <row r="62" spans="1:15">
      <c r="A62" t="s">
        <v>220</v>
      </c>
      <c r="D62">
        <v>6</v>
      </c>
      <c r="E62">
        <v>30</v>
      </c>
      <c r="F62">
        <f t="shared" si="27"/>
        <v>9000</v>
      </c>
      <c r="G62">
        <f t="shared" si="28"/>
        <v>3</v>
      </c>
      <c r="H62">
        <f t="shared" si="19"/>
        <v>300</v>
      </c>
      <c r="I62" t="s">
        <v>176</v>
      </c>
      <c r="J62">
        <v>6</v>
      </c>
      <c r="K62">
        <v>1</v>
      </c>
      <c r="M62">
        <f t="shared" si="29"/>
        <v>30</v>
      </c>
    </row>
    <row r="63" spans="1:15">
      <c r="A63" t="s">
        <v>221</v>
      </c>
      <c r="D63">
        <v>6</v>
      </c>
      <c r="E63">
        <v>30</v>
      </c>
      <c r="F63">
        <f t="shared" si="27"/>
        <v>9000</v>
      </c>
      <c r="G63">
        <f t="shared" si="28"/>
        <v>3</v>
      </c>
      <c r="H63">
        <f t="shared" si="19"/>
        <v>300</v>
      </c>
      <c r="I63" t="s">
        <v>176</v>
      </c>
      <c r="J63">
        <v>6</v>
      </c>
      <c r="K63">
        <v>1</v>
      </c>
      <c r="M63">
        <f t="shared" si="29"/>
        <v>30</v>
      </c>
    </row>
    <row r="64" spans="1:15">
      <c r="A64" t="s">
        <v>222</v>
      </c>
      <c r="D64">
        <v>6</v>
      </c>
      <c r="E64">
        <v>29</v>
      </c>
      <c r="F64">
        <f t="shared" si="27"/>
        <v>8700</v>
      </c>
      <c r="G64">
        <f t="shared" si="28"/>
        <v>2</v>
      </c>
      <c r="H64">
        <f t="shared" si="19"/>
        <v>300</v>
      </c>
      <c r="I64" t="s">
        <v>176</v>
      </c>
      <c r="J64">
        <v>6</v>
      </c>
      <c r="K64">
        <v>1</v>
      </c>
      <c r="M64">
        <f t="shared" si="29"/>
        <v>29</v>
      </c>
    </row>
    <row r="65" spans="1:15">
      <c r="A65" t="s">
        <v>223</v>
      </c>
      <c r="D65">
        <v>15</v>
      </c>
      <c r="E65">
        <v>84</v>
      </c>
      <c r="F65">
        <f t="shared" si="27"/>
        <v>25200</v>
      </c>
      <c r="G65">
        <f t="shared" si="28"/>
        <v>8</v>
      </c>
      <c r="H65">
        <f t="shared" si="19"/>
        <v>300</v>
      </c>
      <c r="I65" t="s">
        <v>176</v>
      </c>
      <c r="J65">
        <v>15</v>
      </c>
      <c r="K65">
        <v>1</v>
      </c>
      <c r="M65">
        <f t="shared" si="29"/>
        <v>84</v>
      </c>
    </row>
    <row r="66" spans="1:15">
      <c r="A66" t="s">
        <v>224</v>
      </c>
      <c r="D66">
        <v>10</v>
      </c>
      <c r="E66">
        <v>66</v>
      </c>
      <c r="F66">
        <f t="shared" si="27"/>
        <v>19800</v>
      </c>
      <c r="G66">
        <f t="shared" si="28"/>
        <v>6</v>
      </c>
      <c r="H66">
        <f t="shared" si="19"/>
        <v>300</v>
      </c>
      <c r="I66" t="s">
        <v>176</v>
      </c>
      <c r="J66">
        <v>10</v>
      </c>
      <c r="K66">
        <v>1</v>
      </c>
      <c r="M66">
        <f t="shared" si="29"/>
        <v>66</v>
      </c>
    </row>
    <row r="67" spans="1:15">
      <c r="A67" t="s">
        <v>225</v>
      </c>
      <c r="D67">
        <v>15</v>
      </c>
      <c r="E67">
        <v>88</v>
      </c>
      <c r="F67">
        <f t="shared" si="27"/>
        <v>26400</v>
      </c>
      <c r="G67">
        <f t="shared" si="28"/>
        <v>8</v>
      </c>
      <c r="H67">
        <f t="shared" si="19"/>
        <v>300</v>
      </c>
      <c r="I67" t="s">
        <v>176</v>
      </c>
      <c r="J67">
        <v>15</v>
      </c>
      <c r="K67">
        <v>1</v>
      </c>
      <c r="M67">
        <f t="shared" si="29"/>
        <v>88</v>
      </c>
    </row>
    <row r="68" spans="1:15">
      <c r="A68" t="s">
        <v>201</v>
      </c>
      <c r="D68">
        <f>SUM(D61:D67)</f>
        <v>64</v>
      </c>
      <c r="E68">
        <v>74</v>
      </c>
      <c r="F68">
        <f t="shared" si="27"/>
        <v>11100</v>
      </c>
      <c r="G68">
        <f t="shared" si="28"/>
        <v>3</v>
      </c>
      <c r="H68">
        <f t="shared" si="19"/>
        <v>150</v>
      </c>
      <c r="I68" t="s">
        <v>171</v>
      </c>
      <c r="L68">
        <v>1</v>
      </c>
      <c r="M68">
        <f t="shared" si="29"/>
        <v>74</v>
      </c>
      <c r="N68">
        <f>D68/20</f>
        <v>3.2</v>
      </c>
      <c r="O68">
        <f>TRUNC(N68)</f>
        <v>3</v>
      </c>
    </row>
    <row r="69" spans="1:15">
      <c r="A69" t="s">
        <v>226</v>
      </c>
      <c r="D69" t="s">
        <v>170</v>
      </c>
      <c r="E69">
        <v>36</v>
      </c>
      <c r="F69">
        <f t="shared" si="27"/>
        <v>5400</v>
      </c>
      <c r="G69">
        <f t="shared" si="28"/>
        <v>1</v>
      </c>
      <c r="H69">
        <f t="shared" si="19"/>
        <v>150</v>
      </c>
      <c r="I69" t="s">
        <v>171</v>
      </c>
      <c r="M69">
        <f t="shared" si="29"/>
        <v>36</v>
      </c>
    </row>
    <row r="70" spans="1:15">
      <c r="A70" t="s">
        <v>227</v>
      </c>
      <c r="D70" t="s">
        <v>170</v>
      </c>
      <c r="E70">
        <v>57</v>
      </c>
      <c r="F70">
        <f t="shared" si="27"/>
        <v>28500</v>
      </c>
      <c r="G70">
        <f t="shared" si="28"/>
        <v>9</v>
      </c>
      <c r="H70">
        <f t="shared" si="19"/>
        <v>500</v>
      </c>
      <c r="I70" t="s">
        <v>182</v>
      </c>
      <c r="M70">
        <f t="shared" si="29"/>
        <v>57</v>
      </c>
    </row>
    <row r="71" spans="1:15">
      <c r="A71" t="s">
        <v>185</v>
      </c>
      <c r="D71" t="s">
        <v>170</v>
      </c>
      <c r="E71">
        <v>19.350000000000001</v>
      </c>
      <c r="F71">
        <f t="shared" si="27"/>
        <v>1935.0000000000002</v>
      </c>
      <c r="G71">
        <f t="shared" si="28"/>
        <v>1</v>
      </c>
      <c r="H71">
        <f t="shared" si="19"/>
        <v>100</v>
      </c>
      <c r="I71" t="s">
        <v>186</v>
      </c>
      <c r="M71">
        <f t="shared" si="29"/>
        <v>19.350000000000001</v>
      </c>
    </row>
    <row r="72" spans="1:15">
      <c r="A72" t="s">
        <v>185</v>
      </c>
      <c r="D72" t="s">
        <v>170</v>
      </c>
      <c r="E72">
        <v>19.350000000000001</v>
      </c>
      <c r="F72">
        <f t="shared" si="27"/>
        <v>1935.0000000000002</v>
      </c>
      <c r="G72">
        <f t="shared" si="28"/>
        <v>1</v>
      </c>
      <c r="H72">
        <f t="shared" si="19"/>
        <v>100</v>
      </c>
      <c r="I72" t="s">
        <v>186</v>
      </c>
      <c r="M72">
        <f t="shared" si="29"/>
        <v>19.350000000000001</v>
      </c>
    </row>
    <row r="73" spans="1:15">
      <c r="A73" t="s">
        <v>185</v>
      </c>
      <c r="D73" t="s">
        <v>170</v>
      </c>
      <c r="E73">
        <v>19.350000000000001</v>
      </c>
      <c r="F73">
        <f t="shared" si="27"/>
        <v>1935.0000000000002</v>
      </c>
      <c r="G73">
        <f t="shared" si="28"/>
        <v>1</v>
      </c>
      <c r="H73">
        <f t="shared" si="19"/>
        <v>100</v>
      </c>
      <c r="I73" t="s">
        <v>186</v>
      </c>
      <c r="M73">
        <f t="shared" si="29"/>
        <v>19.350000000000001</v>
      </c>
    </row>
    <row r="74" spans="1:15">
      <c r="A74" t="s">
        <v>190</v>
      </c>
      <c r="D74" t="s">
        <v>170</v>
      </c>
      <c r="E74">
        <v>10</v>
      </c>
      <c r="F74">
        <f t="shared" si="27"/>
        <v>1000</v>
      </c>
      <c r="G74">
        <f t="shared" si="28"/>
        <v>1</v>
      </c>
      <c r="H74">
        <f t="shared" si="19"/>
        <v>100</v>
      </c>
      <c r="I74" t="s">
        <v>186</v>
      </c>
      <c r="M74">
        <f t="shared" si="29"/>
        <v>10</v>
      </c>
    </row>
    <row r="75" spans="1:15" s="16" customFormat="1" ht="15" thickBot="1">
      <c r="A75" s="11" t="s">
        <v>193</v>
      </c>
      <c r="B75" s="11"/>
      <c r="C75" s="11"/>
      <c r="D75" s="11">
        <f>SUM(D76:D82)</f>
        <v>70</v>
      </c>
      <c r="E75" s="11">
        <f>SUM(E76:E83)</f>
        <v>655</v>
      </c>
      <c r="F75" s="11">
        <f>SUM(F76:F83)</f>
        <v>185100</v>
      </c>
      <c r="G75" s="11">
        <f>SUM(G76:G83)</f>
        <v>60</v>
      </c>
      <c r="H75" s="11">
        <f t="shared" ref="H75:M75" si="30">SUM(H76:H83)</f>
        <v>2050</v>
      </c>
      <c r="I75" s="11"/>
      <c r="J75" s="11"/>
      <c r="K75" s="11"/>
      <c r="L75" s="11"/>
      <c r="M75" s="11">
        <f t="shared" si="30"/>
        <v>655</v>
      </c>
      <c r="N75" s="11"/>
      <c r="O75" s="11"/>
    </row>
    <row r="76" spans="1:15">
      <c r="A76" t="s">
        <v>228</v>
      </c>
      <c r="D76">
        <v>20</v>
      </c>
      <c r="E76">
        <v>118</v>
      </c>
      <c r="F76">
        <f t="shared" ref="F76:F83" si="31">E76*H76</f>
        <v>35400</v>
      </c>
      <c r="G76">
        <f t="shared" si="28"/>
        <v>11</v>
      </c>
      <c r="H76">
        <f t="shared" si="19"/>
        <v>300</v>
      </c>
      <c r="I76" t="s">
        <v>176</v>
      </c>
      <c r="J76">
        <v>20</v>
      </c>
      <c r="K76">
        <v>1</v>
      </c>
      <c r="M76">
        <f t="shared" ref="M76:M83" si="32">E76*R$8</f>
        <v>118</v>
      </c>
    </row>
    <row r="77" spans="1:15">
      <c r="A77" t="s">
        <v>229</v>
      </c>
      <c r="D77">
        <v>16</v>
      </c>
      <c r="E77">
        <v>111</v>
      </c>
      <c r="F77">
        <f t="shared" si="31"/>
        <v>33300</v>
      </c>
      <c r="G77">
        <f t="shared" si="28"/>
        <v>11</v>
      </c>
      <c r="H77">
        <f t="shared" si="19"/>
        <v>300</v>
      </c>
      <c r="I77" t="s">
        <v>176</v>
      </c>
      <c r="J77">
        <v>16</v>
      </c>
      <c r="K77">
        <v>1</v>
      </c>
      <c r="M77">
        <f t="shared" si="32"/>
        <v>111</v>
      </c>
    </row>
    <row r="78" spans="1:15">
      <c r="A78" t="s">
        <v>230</v>
      </c>
      <c r="D78">
        <v>14</v>
      </c>
      <c r="E78">
        <v>83</v>
      </c>
      <c r="F78">
        <f t="shared" si="31"/>
        <v>24900</v>
      </c>
      <c r="G78">
        <f t="shared" si="28"/>
        <v>8</v>
      </c>
      <c r="H78">
        <f t="shared" si="19"/>
        <v>300</v>
      </c>
      <c r="I78" t="s">
        <v>176</v>
      </c>
      <c r="J78">
        <v>14</v>
      </c>
      <c r="K78">
        <v>1</v>
      </c>
      <c r="M78">
        <f t="shared" si="32"/>
        <v>83</v>
      </c>
    </row>
    <row r="79" spans="1:15">
      <c r="A79" t="s">
        <v>231</v>
      </c>
      <c r="D79">
        <v>20</v>
      </c>
      <c r="E79">
        <v>127</v>
      </c>
      <c r="F79">
        <f t="shared" si="31"/>
        <v>38100</v>
      </c>
      <c r="G79">
        <f t="shared" si="28"/>
        <v>12</v>
      </c>
      <c r="H79">
        <f t="shared" si="19"/>
        <v>300</v>
      </c>
      <c r="I79" t="s">
        <v>176</v>
      </c>
      <c r="J79">
        <v>20</v>
      </c>
      <c r="L79">
        <v>1</v>
      </c>
      <c r="M79">
        <f t="shared" si="32"/>
        <v>127</v>
      </c>
    </row>
    <row r="80" spans="1:15">
      <c r="A80" t="s">
        <v>232</v>
      </c>
      <c r="E80">
        <v>124</v>
      </c>
      <c r="F80">
        <f t="shared" si="31"/>
        <v>18600</v>
      </c>
      <c r="G80">
        <f t="shared" si="28"/>
        <v>6</v>
      </c>
      <c r="H80">
        <f>IF(I80="Office",300,IF(I80="WareHouse",200,IF(I80="Bathroom",500,IF(I80="Stair",100,IF(I80="Living room",150)))))</f>
        <v>150</v>
      </c>
      <c r="I80" t="s">
        <v>171</v>
      </c>
      <c r="M80">
        <f t="shared" si="32"/>
        <v>124</v>
      </c>
      <c r="N80">
        <f>D80/20</f>
        <v>0</v>
      </c>
      <c r="O80">
        <f>TRUNC(N80)</f>
        <v>0</v>
      </c>
    </row>
    <row r="81" spans="1:15">
      <c r="A81" t="s">
        <v>227</v>
      </c>
      <c r="D81" t="s">
        <v>170</v>
      </c>
      <c r="E81">
        <v>64</v>
      </c>
      <c r="F81">
        <f t="shared" si="31"/>
        <v>32000</v>
      </c>
      <c r="G81">
        <f t="shared" si="28"/>
        <v>10</v>
      </c>
      <c r="H81">
        <f t="shared" si="19"/>
        <v>500</v>
      </c>
      <c r="I81" t="s">
        <v>182</v>
      </c>
      <c r="M81">
        <f t="shared" si="32"/>
        <v>64</v>
      </c>
    </row>
    <row r="82" spans="1:15">
      <c r="A82" t="s">
        <v>190</v>
      </c>
      <c r="D82" t="s">
        <v>170</v>
      </c>
      <c r="E82">
        <v>10</v>
      </c>
      <c r="F82">
        <f t="shared" si="31"/>
        <v>1000</v>
      </c>
      <c r="G82">
        <f t="shared" si="28"/>
        <v>1</v>
      </c>
      <c r="H82">
        <f t="shared" si="19"/>
        <v>100</v>
      </c>
      <c r="I82" t="s">
        <v>186</v>
      </c>
      <c r="M82">
        <f t="shared" si="32"/>
        <v>10</v>
      </c>
    </row>
    <row r="83" spans="1:15">
      <c r="A83" t="s">
        <v>185</v>
      </c>
      <c r="D83" t="s">
        <v>170</v>
      </c>
      <c r="E83">
        <v>18</v>
      </c>
      <c r="F83">
        <f t="shared" si="31"/>
        <v>1800</v>
      </c>
      <c r="G83">
        <f t="shared" si="28"/>
        <v>1</v>
      </c>
      <c r="H83">
        <f t="shared" si="19"/>
        <v>100</v>
      </c>
      <c r="I83" t="s">
        <v>186</v>
      </c>
      <c r="M83">
        <f t="shared" si="32"/>
        <v>18</v>
      </c>
    </row>
    <row r="84" spans="1:15">
      <c r="A84" s="4" t="s">
        <v>233</v>
      </c>
      <c r="B84" s="4"/>
      <c r="C84" s="4"/>
      <c r="D84" s="4">
        <f>D86+D105</f>
        <v>129</v>
      </c>
      <c r="E84" s="4">
        <f>E86+E105</f>
        <v>1248.4000000000001</v>
      </c>
      <c r="F84" s="4">
        <f>F86+F105</f>
        <v>285940</v>
      </c>
      <c r="G84" s="4">
        <f>G86+G105</f>
        <v>90</v>
      </c>
      <c r="H84" s="4">
        <f t="shared" ref="H84:M84" si="33">H86+H105</f>
        <v>4250</v>
      </c>
      <c r="I84" s="4"/>
      <c r="J84" s="4"/>
      <c r="K84" s="4"/>
      <c r="L84" s="4"/>
      <c r="M84" s="4">
        <f t="shared" si="33"/>
        <v>1248.4000000000001</v>
      </c>
      <c r="N84" s="4"/>
      <c r="O84" s="4"/>
    </row>
    <row r="85" spans="1:15" s="14" customFormat="1">
      <c r="A85" s="6" t="s">
        <v>169</v>
      </c>
      <c r="B85" s="6"/>
      <c r="C85" s="6"/>
      <c r="D85" s="6" t="s">
        <v>170</v>
      </c>
      <c r="E85" s="6">
        <v>374</v>
      </c>
      <c r="F85" s="6"/>
      <c r="G85" s="6">
        <f t="shared" ref="G85" si="34">TRUNC(F85/3000)</f>
        <v>0</v>
      </c>
      <c r="H85" s="6"/>
      <c r="I85" s="6"/>
      <c r="J85" s="6"/>
      <c r="K85" s="6"/>
      <c r="L85" s="6"/>
      <c r="M85" s="6">
        <f>E85*R$8</f>
        <v>374</v>
      </c>
      <c r="N85" s="6"/>
      <c r="O85" s="6"/>
    </row>
    <row r="86" spans="1:15" s="15" customFormat="1" ht="15" thickBot="1">
      <c r="A86" s="8" t="s">
        <v>234</v>
      </c>
      <c r="B86" s="8"/>
      <c r="C86" s="8"/>
      <c r="D86" s="8">
        <f>SUM(D87:D104)</f>
        <v>129</v>
      </c>
      <c r="E86" s="8">
        <f>SUM(E87:E104)</f>
        <v>922.05000000000007</v>
      </c>
      <c r="F86" s="8">
        <f>SUM(F87:F104)</f>
        <v>193905</v>
      </c>
      <c r="G86" s="8">
        <f>SUM(G87:G104)</f>
        <v>59</v>
      </c>
      <c r="H86" s="8">
        <f t="shared" ref="H86:M86" si="35">SUM(H87:H104)</f>
        <v>3750</v>
      </c>
      <c r="I86" s="8"/>
      <c r="J86" s="8"/>
      <c r="K86" s="8"/>
      <c r="L86" s="8"/>
      <c r="M86" s="8">
        <f t="shared" si="35"/>
        <v>922.05000000000007</v>
      </c>
      <c r="N86" s="8"/>
      <c r="O86" s="8"/>
    </row>
    <row r="87" spans="1:15">
      <c r="A87" t="s">
        <v>235</v>
      </c>
      <c r="D87">
        <v>4</v>
      </c>
      <c r="E87">
        <v>39</v>
      </c>
      <c r="F87">
        <f t="shared" ref="F87:F104" si="36">E87*H87</f>
        <v>11700</v>
      </c>
      <c r="G87">
        <f t="shared" ref="G87:G108" si="37">IF(TRUNC(F87/3000)=0,1,TRUNC(F87/3000,0))</f>
        <v>3</v>
      </c>
      <c r="H87">
        <f t="shared" ref="H87:H108" si="38">IF(I87="Office",300,IF(I87="WareHouse",200,IF(I87="Bathroom",500,IF(I87="Stair",100,IF(I87="Living room",150)))))</f>
        <v>300</v>
      </c>
      <c r="I87" t="s">
        <v>176</v>
      </c>
      <c r="M87">
        <f t="shared" ref="M87:M104" si="39">E87*R$8</f>
        <v>39</v>
      </c>
    </row>
    <row r="88" spans="1:15">
      <c r="A88" t="s">
        <v>236</v>
      </c>
      <c r="D88" t="s">
        <v>170</v>
      </c>
      <c r="E88">
        <v>72</v>
      </c>
      <c r="F88">
        <f t="shared" si="36"/>
        <v>10800</v>
      </c>
      <c r="G88">
        <f t="shared" si="37"/>
        <v>3</v>
      </c>
      <c r="H88">
        <f t="shared" si="38"/>
        <v>150</v>
      </c>
      <c r="I88" t="s">
        <v>171</v>
      </c>
      <c r="M88">
        <f t="shared" si="39"/>
        <v>72</v>
      </c>
      <c r="N88">
        <f>E88/20</f>
        <v>3.6</v>
      </c>
      <c r="O88">
        <f>TRUNC(N88)</f>
        <v>3</v>
      </c>
    </row>
    <row r="89" spans="1:15">
      <c r="A89" t="s">
        <v>237</v>
      </c>
      <c r="D89">
        <v>10</v>
      </c>
      <c r="E89">
        <v>48</v>
      </c>
      <c r="F89">
        <f t="shared" si="36"/>
        <v>14400</v>
      </c>
      <c r="G89">
        <f t="shared" si="37"/>
        <v>4</v>
      </c>
      <c r="H89">
        <f t="shared" si="38"/>
        <v>300</v>
      </c>
      <c r="I89" t="s">
        <v>176</v>
      </c>
      <c r="M89">
        <f t="shared" si="39"/>
        <v>48</v>
      </c>
    </row>
    <row r="90" spans="1:15">
      <c r="A90" t="s">
        <v>238</v>
      </c>
      <c r="D90">
        <v>5</v>
      </c>
      <c r="E90">
        <v>37</v>
      </c>
      <c r="F90">
        <f t="shared" si="36"/>
        <v>11100</v>
      </c>
      <c r="G90">
        <f t="shared" si="37"/>
        <v>3</v>
      </c>
      <c r="H90">
        <f t="shared" si="38"/>
        <v>300</v>
      </c>
      <c r="I90" t="s">
        <v>176</v>
      </c>
      <c r="M90">
        <f t="shared" si="39"/>
        <v>37</v>
      </c>
    </row>
    <row r="91" spans="1:15">
      <c r="A91" t="s">
        <v>239</v>
      </c>
      <c r="D91">
        <v>5</v>
      </c>
      <c r="E91">
        <v>39</v>
      </c>
      <c r="F91">
        <f t="shared" si="36"/>
        <v>11700</v>
      </c>
      <c r="G91">
        <f t="shared" si="37"/>
        <v>3</v>
      </c>
      <c r="H91">
        <f t="shared" si="38"/>
        <v>300</v>
      </c>
      <c r="I91" t="s">
        <v>176</v>
      </c>
      <c r="M91">
        <f t="shared" si="39"/>
        <v>39</v>
      </c>
    </row>
    <row r="92" spans="1:15">
      <c r="A92" t="s">
        <v>240</v>
      </c>
      <c r="D92">
        <v>5</v>
      </c>
      <c r="E92">
        <v>37</v>
      </c>
      <c r="F92">
        <f t="shared" si="36"/>
        <v>11100</v>
      </c>
      <c r="G92">
        <f t="shared" si="37"/>
        <v>3</v>
      </c>
      <c r="H92">
        <f t="shared" si="38"/>
        <v>300</v>
      </c>
      <c r="I92" t="s">
        <v>176</v>
      </c>
      <c r="M92">
        <f t="shared" si="39"/>
        <v>37</v>
      </c>
    </row>
    <row r="93" spans="1:15">
      <c r="A93" t="s">
        <v>241</v>
      </c>
      <c r="D93">
        <v>30</v>
      </c>
      <c r="E93">
        <v>216</v>
      </c>
      <c r="F93">
        <f t="shared" si="36"/>
        <v>32400</v>
      </c>
      <c r="G93">
        <f t="shared" si="37"/>
        <v>10</v>
      </c>
      <c r="H93">
        <f t="shared" si="38"/>
        <v>150</v>
      </c>
      <c r="I93" t="s">
        <v>171</v>
      </c>
      <c r="M93">
        <f t="shared" si="39"/>
        <v>216</v>
      </c>
    </row>
    <row r="94" spans="1:15">
      <c r="A94" t="s">
        <v>242</v>
      </c>
      <c r="D94">
        <v>30</v>
      </c>
      <c r="E94">
        <v>91</v>
      </c>
      <c r="F94">
        <f t="shared" si="36"/>
        <v>13650</v>
      </c>
      <c r="G94">
        <f t="shared" si="37"/>
        <v>4</v>
      </c>
      <c r="H94">
        <f t="shared" si="38"/>
        <v>150</v>
      </c>
      <c r="I94" t="s">
        <v>171</v>
      </c>
      <c r="M94">
        <f t="shared" si="39"/>
        <v>91</v>
      </c>
    </row>
    <row r="95" spans="1:15">
      <c r="A95" t="s">
        <v>243</v>
      </c>
      <c r="D95">
        <v>20</v>
      </c>
      <c r="E95">
        <v>51</v>
      </c>
      <c r="F95">
        <f t="shared" si="36"/>
        <v>7650</v>
      </c>
      <c r="G95">
        <f t="shared" si="37"/>
        <v>2</v>
      </c>
      <c r="H95">
        <f t="shared" si="38"/>
        <v>150</v>
      </c>
      <c r="I95" t="s">
        <v>171</v>
      </c>
      <c r="M95">
        <f t="shared" si="39"/>
        <v>51</v>
      </c>
    </row>
    <row r="96" spans="1:15">
      <c r="A96" t="s">
        <v>244</v>
      </c>
      <c r="D96">
        <v>5</v>
      </c>
      <c r="E96">
        <v>50</v>
      </c>
      <c r="F96">
        <f t="shared" si="36"/>
        <v>15000</v>
      </c>
      <c r="G96">
        <f t="shared" si="37"/>
        <v>5</v>
      </c>
      <c r="H96">
        <f t="shared" si="38"/>
        <v>300</v>
      </c>
      <c r="I96" t="s">
        <v>176</v>
      </c>
      <c r="M96">
        <f t="shared" si="39"/>
        <v>50</v>
      </c>
    </row>
    <row r="97" spans="1:15">
      <c r="A97" t="s">
        <v>245</v>
      </c>
      <c r="D97">
        <v>15</v>
      </c>
      <c r="E97">
        <v>76</v>
      </c>
      <c r="F97">
        <f t="shared" si="36"/>
        <v>11400</v>
      </c>
      <c r="G97">
        <f t="shared" si="37"/>
        <v>3</v>
      </c>
      <c r="H97">
        <f t="shared" si="38"/>
        <v>150</v>
      </c>
      <c r="I97" t="s">
        <v>171</v>
      </c>
      <c r="M97">
        <f t="shared" si="39"/>
        <v>76</v>
      </c>
    </row>
    <row r="98" spans="1:15">
      <c r="A98" t="s">
        <v>246</v>
      </c>
      <c r="D98" t="s">
        <v>170</v>
      </c>
      <c r="E98">
        <v>36</v>
      </c>
      <c r="F98">
        <f t="shared" si="36"/>
        <v>7200</v>
      </c>
      <c r="G98">
        <f t="shared" si="37"/>
        <v>2</v>
      </c>
      <c r="H98">
        <f t="shared" si="38"/>
        <v>200</v>
      </c>
      <c r="I98" t="s">
        <v>180</v>
      </c>
      <c r="M98">
        <f t="shared" si="39"/>
        <v>36</v>
      </c>
    </row>
    <row r="99" spans="1:15">
      <c r="A99" t="s">
        <v>247</v>
      </c>
      <c r="D99" t="s">
        <v>170</v>
      </c>
      <c r="E99">
        <v>5</v>
      </c>
      <c r="F99">
        <f t="shared" si="36"/>
        <v>500</v>
      </c>
      <c r="G99">
        <f t="shared" si="37"/>
        <v>1</v>
      </c>
      <c r="H99">
        <f t="shared" si="38"/>
        <v>100</v>
      </c>
      <c r="I99" t="s">
        <v>186</v>
      </c>
      <c r="M99">
        <f t="shared" si="39"/>
        <v>5</v>
      </c>
    </row>
    <row r="100" spans="1:15">
      <c r="A100" t="s">
        <v>248</v>
      </c>
      <c r="D100" t="s">
        <v>170</v>
      </c>
      <c r="E100">
        <v>10</v>
      </c>
      <c r="F100">
        <f t="shared" si="36"/>
        <v>1000</v>
      </c>
      <c r="G100">
        <f t="shared" si="37"/>
        <v>1</v>
      </c>
      <c r="H100">
        <f t="shared" si="38"/>
        <v>100</v>
      </c>
      <c r="I100" t="s">
        <v>186</v>
      </c>
      <c r="M100">
        <f t="shared" si="39"/>
        <v>10</v>
      </c>
    </row>
    <row r="101" spans="1:15">
      <c r="A101" t="s">
        <v>227</v>
      </c>
      <c r="D101" t="s">
        <v>170</v>
      </c>
      <c r="E101">
        <v>57</v>
      </c>
      <c r="F101">
        <f t="shared" si="36"/>
        <v>28500</v>
      </c>
      <c r="G101">
        <f t="shared" si="37"/>
        <v>9</v>
      </c>
      <c r="H101">
        <f t="shared" si="38"/>
        <v>500</v>
      </c>
      <c r="I101" t="s">
        <v>182</v>
      </c>
      <c r="M101">
        <f t="shared" si="39"/>
        <v>57</v>
      </c>
    </row>
    <row r="102" spans="1:15">
      <c r="A102" t="s">
        <v>185</v>
      </c>
      <c r="D102" t="s">
        <v>170</v>
      </c>
      <c r="E102">
        <v>19.350000000000001</v>
      </c>
      <c r="F102">
        <f t="shared" si="36"/>
        <v>1935.0000000000002</v>
      </c>
      <c r="G102">
        <f t="shared" si="37"/>
        <v>1</v>
      </c>
      <c r="H102">
        <f t="shared" si="38"/>
        <v>100</v>
      </c>
      <c r="I102" t="s">
        <v>186</v>
      </c>
      <c r="M102">
        <f t="shared" si="39"/>
        <v>19.350000000000001</v>
      </c>
    </row>
    <row r="103" spans="1:15">
      <c r="A103" t="s">
        <v>185</v>
      </c>
      <c r="D103" t="s">
        <v>170</v>
      </c>
      <c r="E103">
        <v>19.350000000000001</v>
      </c>
      <c r="F103">
        <f t="shared" si="36"/>
        <v>1935.0000000000002</v>
      </c>
      <c r="G103">
        <f t="shared" si="37"/>
        <v>1</v>
      </c>
      <c r="H103">
        <f t="shared" si="38"/>
        <v>100</v>
      </c>
      <c r="I103" t="s">
        <v>186</v>
      </c>
      <c r="M103">
        <f t="shared" si="39"/>
        <v>19.350000000000001</v>
      </c>
    </row>
    <row r="104" spans="1:15">
      <c r="A104" t="s">
        <v>185</v>
      </c>
      <c r="D104" t="s">
        <v>170</v>
      </c>
      <c r="E104">
        <v>19.350000000000001</v>
      </c>
      <c r="F104">
        <f t="shared" si="36"/>
        <v>1935.0000000000002</v>
      </c>
      <c r="G104">
        <f t="shared" si="37"/>
        <v>1</v>
      </c>
      <c r="H104">
        <f t="shared" si="38"/>
        <v>100</v>
      </c>
      <c r="I104" t="s">
        <v>186</v>
      </c>
      <c r="M104">
        <f t="shared" si="39"/>
        <v>19.350000000000001</v>
      </c>
    </row>
    <row r="105" spans="1:15" s="16" customFormat="1" ht="15" thickBot="1">
      <c r="A105" s="11" t="s">
        <v>249</v>
      </c>
      <c r="B105" s="11"/>
      <c r="C105" s="11"/>
      <c r="D105" s="11">
        <f>SUM(AA25:AA30)</f>
        <v>0</v>
      </c>
      <c r="E105" s="11">
        <f>SUM(E106:E108)</f>
        <v>326.35000000000002</v>
      </c>
      <c r="F105" s="11">
        <f>SUM(F106:F108)</f>
        <v>92035</v>
      </c>
      <c r="G105" s="11">
        <f t="shared" ref="G105:O105" si="40">SUM(G106:G108)</f>
        <v>31</v>
      </c>
      <c r="H105" s="11">
        <f t="shared" si="40"/>
        <v>500</v>
      </c>
      <c r="I105" s="11"/>
      <c r="J105" s="11"/>
      <c r="K105" s="11"/>
      <c r="L105" s="11"/>
      <c r="M105" s="11">
        <f t="shared" si="40"/>
        <v>326.35000000000002</v>
      </c>
      <c r="N105" s="11">
        <f t="shared" si="40"/>
        <v>0</v>
      </c>
      <c r="O105" s="11">
        <f t="shared" si="40"/>
        <v>0</v>
      </c>
    </row>
    <row r="106" spans="1:15">
      <c r="A106" t="s">
        <v>250</v>
      </c>
      <c r="D106">
        <v>125</v>
      </c>
      <c r="E106">
        <v>297</v>
      </c>
      <c r="F106">
        <f>E106*H106</f>
        <v>89100</v>
      </c>
      <c r="G106">
        <f t="shared" si="37"/>
        <v>29</v>
      </c>
      <c r="H106">
        <f t="shared" si="38"/>
        <v>300</v>
      </c>
      <c r="I106" t="s">
        <v>176</v>
      </c>
      <c r="M106">
        <f>E106*R$8</f>
        <v>297</v>
      </c>
    </row>
    <row r="107" spans="1:15">
      <c r="A107" t="s">
        <v>185</v>
      </c>
      <c r="D107" t="s">
        <v>170</v>
      </c>
      <c r="E107">
        <v>19.350000000000001</v>
      </c>
      <c r="F107">
        <f>E107*H107</f>
        <v>1935.0000000000002</v>
      </c>
      <c r="G107">
        <f t="shared" si="37"/>
        <v>1</v>
      </c>
      <c r="H107">
        <f t="shared" si="38"/>
        <v>100</v>
      </c>
      <c r="I107" t="s">
        <v>186</v>
      </c>
      <c r="M107">
        <f>E107*R$8</f>
        <v>19.350000000000001</v>
      </c>
    </row>
    <row r="108" spans="1:15">
      <c r="A108" t="s">
        <v>251</v>
      </c>
      <c r="D108" t="s">
        <v>170</v>
      </c>
      <c r="E108">
        <v>10</v>
      </c>
      <c r="F108">
        <f>E108*H108</f>
        <v>1000</v>
      </c>
      <c r="G108">
        <f t="shared" si="37"/>
        <v>1</v>
      </c>
      <c r="H108">
        <f t="shared" si="38"/>
        <v>100</v>
      </c>
      <c r="I108" t="s">
        <v>186</v>
      </c>
      <c r="M108">
        <f>E108*R$8</f>
        <v>10</v>
      </c>
    </row>
    <row r="109" spans="1:15">
      <c r="A109" s="4" t="s">
        <v>252</v>
      </c>
      <c r="B109" s="4"/>
      <c r="C109" s="4"/>
      <c r="D109" s="4">
        <f>SUM(D111:D117)</f>
        <v>82</v>
      </c>
      <c r="E109" s="4">
        <f>E110</f>
        <v>741.7</v>
      </c>
      <c r="F109" s="4">
        <f>SUM(F111:F123)</f>
        <v>205070</v>
      </c>
      <c r="G109" s="4">
        <f>SUM(G111:G123)</f>
        <v>65</v>
      </c>
      <c r="H109" s="4">
        <f t="shared" ref="H109:M109" si="41">SUM(H111:H123)</f>
        <v>3250</v>
      </c>
      <c r="I109" s="4"/>
      <c r="J109" s="4"/>
      <c r="K109" s="4"/>
      <c r="L109" s="4"/>
      <c r="M109" s="4">
        <f t="shared" si="41"/>
        <v>741.7</v>
      </c>
      <c r="N109" s="4"/>
      <c r="O109" s="4"/>
    </row>
    <row r="110" spans="1:15">
      <c r="A110" s="7" t="s">
        <v>253</v>
      </c>
      <c r="B110" s="7"/>
      <c r="C110" s="7"/>
      <c r="D110" s="7"/>
      <c r="E110" s="7">
        <f>SUM(E111:E123)</f>
        <v>741.7</v>
      </c>
      <c r="F110" s="7"/>
      <c r="G110" s="7">
        <f t="shared" ref="G110" si="42">TRUNC(F110/3000)</f>
        <v>0</v>
      </c>
      <c r="H110" s="7"/>
      <c r="I110" s="7"/>
      <c r="J110" s="7"/>
      <c r="K110" s="7"/>
      <c r="L110" s="7"/>
      <c r="M110" s="7">
        <f t="shared" ref="M110:M123" si="43">E110*R$8</f>
        <v>741.7</v>
      </c>
      <c r="N110" s="7"/>
      <c r="O110" s="7"/>
    </row>
    <row r="111" spans="1:15">
      <c r="A111" t="s">
        <v>254</v>
      </c>
      <c r="D111">
        <v>30</v>
      </c>
      <c r="E111">
        <v>179</v>
      </c>
      <c r="F111">
        <f t="shared" ref="F111:F129" si="44">E111*H111</f>
        <v>53700</v>
      </c>
      <c r="G111">
        <f t="shared" ref="G111:G129" si="45">IF(TRUNC(F111/3000)=0,1,TRUNC(F111/3000,0))</f>
        <v>17</v>
      </c>
      <c r="H111">
        <f t="shared" ref="H111:H129" si="46">IF(I111="Office",300,IF(I111="WareHouse",200,IF(I111="Bathroom",500,IF(I111="Stair",100,IF(I111="Living room",150)))))</f>
        <v>300</v>
      </c>
      <c r="I111" t="s">
        <v>176</v>
      </c>
      <c r="J111">
        <v>1</v>
      </c>
      <c r="L111">
        <v>1</v>
      </c>
      <c r="M111">
        <f t="shared" si="43"/>
        <v>179</v>
      </c>
    </row>
    <row r="112" spans="1:15">
      <c r="A112" t="s">
        <v>255</v>
      </c>
      <c r="D112">
        <v>16</v>
      </c>
      <c r="E112">
        <v>106</v>
      </c>
      <c r="F112">
        <f t="shared" si="44"/>
        <v>31800</v>
      </c>
      <c r="G112">
        <f t="shared" si="45"/>
        <v>10</v>
      </c>
      <c r="H112">
        <f t="shared" si="46"/>
        <v>300</v>
      </c>
      <c r="I112" t="s">
        <v>176</v>
      </c>
      <c r="J112">
        <v>1</v>
      </c>
      <c r="L112">
        <v>1</v>
      </c>
      <c r="M112">
        <f t="shared" si="43"/>
        <v>106</v>
      </c>
    </row>
    <row r="113" spans="1:15">
      <c r="A113" t="s">
        <v>256</v>
      </c>
      <c r="D113">
        <v>10</v>
      </c>
      <c r="E113">
        <v>59</v>
      </c>
      <c r="F113">
        <f t="shared" si="44"/>
        <v>17700</v>
      </c>
      <c r="G113">
        <f t="shared" si="45"/>
        <v>5</v>
      </c>
      <c r="H113">
        <f t="shared" si="46"/>
        <v>300</v>
      </c>
      <c r="I113" t="s">
        <v>176</v>
      </c>
      <c r="J113">
        <v>1</v>
      </c>
      <c r="L113">
        <v>1</v>
      </c>
      <c r="M113">
        <f t="shared" si="43"/>
        <v>59</v>
      </c>
    </row>
    <row r="114" spans="1:15">
      <c r="A114" t="s">
        <v>176</v>
      </c>
      <c r="D114">
        <v>6</v>
      </c>
      <c r="E114">
        <v>31</v>
      </c>
      <c r="F114">
        <f t="shared" si="44"/>
        <v>9300</v>
      </c>
      <c r="G114">
        <f t="shared" si="45"/>
        <v>3</v>
      </c>
      <c r="H114">
        <f t="shared" si="46"/>
        <v>300</v>
      </c>
      <c r="I114" t="s">
        <v>176</v>
      </c>
      <c r="J114">
        <v>6</v>
      </c>
      <c r="K114">
        <v>1</v>
      </c>
      <c r="M114">
        <f t="shared" si="43"/>
        <v>31</v>
      </c>
    </row>
    <row r="115" spans="1:15">
      <c r="A115" t="s">
        <v>176</v>
      </c>
      <c r="D115">
        <v>6</v>
      </c>
      <c r="E115">
        <v>34</v>
      </c>
      <c r="F115">
        <f t="shared" si="44"/>
        <v>10200</v>
      </c>
      <c r="G115">
        <f t="shared" si="45"/>
        <v>3</v>
      </c>
      <c r="H115">
        <f t="shared" si="46"/>
        <v>300</v>
      </c>
      <c r="I115" t="s">
        <v>176</v>
      </c>
      <c r="J115">
        <v>6</v>
      </c>
      <c r="K115">
        <v>1</v>
      </c>
      <c r="M115">
        <f t="shared" si="43"/>
        <v>34</v>
      </c>
    </row>
    <row r="116" spans="1:15">
      <c r="A116" t="s">
        <v>176</v>
      </c>
      <c r="D116">
        <v>6</v>
      </c>
      <c r="E116">
        <v>32</v>
      </c>
      <c r="F116">
        <f t="shared" si="44"/>
        <v>9600</v>
      </c>
      <c r="G116">
        <f t="shared" si="45"/>
        <v>3</v>
      </c>
      <c r="H116">
        <f t="shared" si="46"/>
        <v>300</v>
      </c>
      <c r="I116" t="s">
        <v>176</v>
      </c>
      <c r="J116">
        <v>6</v>
      </c>
      <c r="K116">
        <v>1</v>
      </c>
      <c r="M116">
        <f t="shared" si="43"/>
        <v>32</v>
      </c>
    </row>
    <row r="117" spans="1:15">
      <c r="A117" t="s">
        <v>176</v>
      </c>
      <c r="D117">
        <v>8</v>
      </c>
      <c r="E117">
        <v>45</v>
      </c>
      <c r="F117">
        <f t="shared" si="44"/>
        <v>13500</v>
      </c>
      <c r="G117">
        <f t="shared" si="45"/>
        <v>4</v>
      </c>
      <c r="H117">
        <f t="shared" si="46"/>
        <v>300</v>
      </c>
      <c r="I117" t="s">
        <v>176</v>
      </c>
      <c r="J117">
        <v>8</v>
      </c>
      <c r="K117">
        <v>1</v>
      </c>
      <c r="M117">
        <f t="shared" si="43"/>
        <v>45</v>
      </c>
    </row>
    <row r="118" spans="1:15">
      <c r="A118" t="s">
        <v>257</v>
      </c>
      <c r="D118" t="s">
        <v>170</v>
      </c>
      <c r="E118">
        <v>70</v>
      </c>
      <c r="F118">
        <f t="shared" si="44"/>
        <v>14000</v>
      </c>
      <c r="G118">
        <f t="shared" si="45"/>
        <v>4</v>
      </c>
      <c r="H118">
        <f t="shared" si="46"/>
        <v>200</v>
      </c>
      <c r="I118" t="s">
        <v>180</v>
      </c>
      <c r="M118">
        <f t="shared" si="43"/>
        <v>70</v>
      </c>
    </row>
    <row r="119" spans="1:15">
      <c r="A119" t="s">
        <v>258</v>
      </c>
      <c r="D119">
        <f>SUM(D111:D117)</f>
        <v>82</v>
      </c>
      <c r="E119">
        <v>86</v>
      </c>
      <c r="F119">
        <f t="shared" si="44"/>
        <v>12900</v>
      </c>
      <c r="G119">
        <f t="shared" si="45"/>
        <v>4</v>
      </c>
      <c r="H119">
        <f t="shared" si="46"/>
        <v>150</v>
      </c>
      <c r="I119" t="s">
        <v>171</v>
      </c>
      <c r="L119">
        <v>1</v>
      </c>
      <c r="M119">
        <f t="shared" si="43"/>
        <v>86</v>
      </c>
      <c r="N119">
        <f>D119/20</f>
        <v>4.0999999999999996</v>
      </c>
      <c r="O119">
        <f>TRUNC(N119)</f>
        <v>4</v>
      </c>
    </row>
    <row r="120" spans="1:15">
      <c r="A120" t="s">
        <v>259</v>
      </c>
      <c r="D120" t="s">
        <v>170</v>
      </c>
      <c r="E120">
        <v>56</v>
      </c>
      <c r="F120">
        <f t="shared" si="44"/>
        <v>28000</v>
      </c>
      <c r="G120">
        <f t="shared" si="45"/>
        <v>9</v>
      </c>
      <c r="H120">
        <f t="shared" si="46"/>
        <v>500</v>
      </c>
      <c r="I120" t="s">
        <v>182</v>
      </c>
      <c r="M120">
        <f t="shared" si="43"/>
        <v>56</v>
      </c>
    </row>
    <row r="121" spans="1:15">
      <c r="A121" t="s">
        <v>260</v>
      </c>
      <c r="D121" t="s">
        <v>170</v>
      </c>
      <c r="E121">
        <v>19.350000000000001</v>
      </c>
      <c r="F121">
        <f t="shared" si="44"/>
        <v>1935.0000000000002</v>
      </c>
      <c r="G121">
        <f t="shared" si="45"/>
        <v>1</v>
      </c>
      <c r="H121">
        <f t="shared" si="46"/>
        <v>100</v>
      </c>
      <c r="I121" t="s">
        <v>186</v>
      </c>
      <c r="M121">
        <f t="shared" si="43"/>
        <v>19.350000000000001</v>
      </c>
    </row>
    <row r="122" spans="1:15">
      <c r="A122" t="s">
        <v>260</v>
      </c>
      <c r="D122" t="s">
        <v>170</v>
      </c>
      <c r="E122">
        <v>19.350000000000001</v>
      </c>
      <c r="F122">
        <f t="shared" si="44"/>
        <v>1935.0000000000002</v>
      </c>
      <c r="G122">
        <f t="shared" si="45"/>
        <v>1</v>
      </c>
      <c r="H122">
        <f t="shared" si="46"/>
        <v>100</v>
      </c>
      <c r="I122" t="s">
        <v>186</v>
      </c>
      <c r="M122">
        <f t="shared" si="43"/>
        <v>19.350000000000001</v>
      </c>
    </row>
    <row r="123" spans="1:15">
      <c r="A123" t="s">
        <v>247</v>
      </c>
      <c r="D123" t="s">
        <v>170</v>
      </c>
      <c r="E123">
        <v>5</v>
      </c>
      <c r="F123">
        <f t="shared" si="44"/>
        <v>500</v>
      </c>
      <c r="G123">
        <f t="shared" si="45"/>
        <v>1</v>
      </c>
      <c r="H123">
        <f t="shared" si="46"/>
        <v>100</v>
      </c>
      <c r="I123" t="s">
        <v>186</v>
      </c>
      <c r="M123">
        <f t="shared" si="43"/>
        <v>5</v>
      </c>
    </row>
    <row r="124" spans="1:15">
      <c r="A124" t="s">
        <v>261</v>
      </c>
      <c r="E124">
        <f>SUM(E125:E129)</f>
        <v>1660.35</v>
      </c>
      <c r="F124">
        <f t="shared" si="44"/>
        <v>166035</v>
      </c>
      <c r="G124">
        <f t="shared" si="45"/>
        <v>55</v>
      </c>
      <c r="H124">
        <f t="shared" si="46"/>
        <v>100</v>
      </c>
      <c r="I124" t="s">
        <v>186</v>
      </c>
    </row>
    <row r="125" spans="1:15">
      <c r="A125" t="s">
        <v>262</v>
      </c>
      <c r="E125">
        <v>658.25</v>
      </c>
      <c r="F125">
        <f t="shared" si="44"/>
        <v>65825</v>
      </c>
      <c r="G125">
        <f t="shared" si="45"/>
        <v>21</v>
      </c>
      <c r="H125">
        <f t="shared" si="46"/>
        <v>100</v>
      </c>
      <c r="I125" t="s">
        <v>186</v>
      </c>
    </row>
    <row r="126" spans="1:15">
      <c r="A126">
        <v>1</v>
      </c>
      <c r="E126">
        <v>347.25</v>
      </c>
      <c r="F126">
        <f t="shared" si="44"/>
        <v>34725</v>
      </c>
      <c r="G126">
        <f t="shared" si="45"/>
        <v>11</v>
      </c>
      <c r="H126">
        <f t="shared" si="46"/>
        <v>100</v>
      </c>
      <c r="I126" t="s">
        <v>186</v>
      </c>
    </row>
    <row r="127" spans="1:15">
      <c r="A127">
        <v>2</v>
      </c>
      <c r="E127">
        <v>271.95</v>
      </c>
      <c r="F127">
        <f t="shared" si="44"/>
        <v>27195</v>
      </c>
      <c r="G127">
        <f t="shared" si="45"/>
        <v>9</v>
      </c>
      <c r="H127">
        <f t="shared" si="46"/>
        <v>100</v>
      </c>
      <c r="I127" t="s">
        <v>186</v>
      </c>
    </row>
    <row r="128" spans="1:15">
      <c r="A128">
        <v>3</v>
      </c>
      <c r="E128">
        <v>174.6</v>
      </c>
      <c r="F128">
        <f t="shared" si="44"/>
        <v>17460</v>
      </c>
      <c r="G128">
        <f t="shared" si="45"/>
        <v>5</v>
      </c>
      <c r="H128">
        <f t="shared" si="46"/>
        <v>100</v>
      </c>
      <c r="I128" t="s">
        <v>186</v>
      </c>
    </row>
    <row r="129" spans="1:9">
      <c r="A129">
        <v>4</v>
      </c>
      <c r="E129">
        <v>208.3</v>
      </c>
      <c r="F129">
        <f t="shared" si="44"/>
        <v>20830</v>
      </c>
      <c r="G129">
        <f t="shared" si="45"/>
        <v>6</v>
      </c>
      <c r="H129">
        <f t="shared" si="46"/>
        <v>100</v>
      </c>
      <c r="I129" t="s">
        <v>186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5BEF8-0A46-4747-B4F4-1FC3FB6373F5}">
  <dimension ref="A1:P13"/>
  <sheetViews>
    <sheetView topLeftCell="H1" zoomScale="91" workbookViewId="0">
      <selection activeCell="O2" sqref="O2:O5"/>
    </sheetView>
  </sheetViews>
  <sheetFormatPr defaultRowHeight="14.45"/>
  <sheetData>
    <row r="1" spans="1:16"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136</v>
      </c>
      <c r="H1" t="s">
        <v>268</v>
      </c>
      <c r="I1" t="s">
        <v>269</v>
      </c>
      <c r="J1" t="s">
        <v>270</v>
      </c>
      <c r="K1" t="s">
        <v>271</v>
      </c>
      <c r="L1" t="s">
        <v>272</v>
      </c>
      <c r="M1" t="s">
        <v>136</v>
      </c>
      <c r="N1" t="s">
        <v>273</v>
      </c>
      <c r="O1" t="s">
        <v>274</v>
      </c>
    </row>
    <row r="2" spans="1:16">
      <c r="A2">
        <v>1</v>
      </c>
      <c r="B2">
        <v>387</v>
      </c>
      <c r="D2">
        <v>258</v>
      </c>
      <c r="E2">
        <v>74</v>
      </c>
      <c r="F2">
        <f>PI()*(15^2)*(E2/360)</f>
        <v>145.29866022852792</v>
      </c>
      <c r="G2">
        <f>F2+B2</f>
        <v>532.29866022852798</v>
      </c>
      <c r="H2">
        <f>SQRT(G2/((E2/360)*PI()))</f>
        <v>28.710327114388864</v>
      </c>
      <c r="I2">
        <f>H2-15</f>
        <v>13.710327114388864</v>
      </c>
      <c r="J2">
        <f>I2-1</f>
        <v>12.710327114388864</v>
      </c>
      <c r="K2">
        <f t="shared" ref="K2:K4" si="0">E2-4</f>
        <v>70</v>
      </c>
      <c r="L2">
        <f>J2+15</f>
        <v>27.710327114388864</v>
      </c>
      <c r="M2">
        <f>(L2^2)*(K2/360)*PI()</f>
        <v>469.06034329088442</v>
      </c>
      <c r="N2">
        <f>M2-F2</f>
        <v>323.7616830623565</v>
      </c>
      <c r="O2">
        <f t="shared" ref="O2:O3" si="1">O3-E3</f>
        <v>-9</v>
      </c>
      <c r="P2">
        <f>O2-E2</f>
        <v>-83</v>
      </c>
    </row>
    <row r="3" spans="1:16">
      <c r="E3">
        <v>70</v>
      </c>
      <c r="O3">
        <f t="shared" si="1"/>
        <v>61</v>
      </c>
      <c r="P3">
        <f t="shared" ref="P3:P4" si="2">O2</f>
        <v>-9</v>
      </c>
    </row>
    <row r="4" spans="1:16">
      <c r="A4">
        <v>3</v>
      </c>
      <c r="B4">
        <v>964</v>
      </c>
      <c r="D4">
        <v>720</v>
      </c>
      <c r="E4">
        <f>38+29</f>
        <v>67</v>
      </c>
      <c r="F4">
        <f t="shared" ref="F4:F5" si="3">PI()*(15^2)*(E4/360)</f>
        <v>131.55419236907258</v>
      </c>
      <c r="G4">
        <f t="shared" ref="G4:G5" si="4">F4+B4</f>
        <v>1095.5541923690726</v>
      </c>
      <c r="H4">
        <f t="shared" ref="H4:H5" si="5">SQRT(G4/((E4/360)*PI()))</f>
        <v>43.286836250245443</v>
      </c>
      <c r="I4">
        <f t="shared" ref="I4:I5" si="6">H4-15</f>
        <v>28.286836250245443</v>
      </c>
      <c r="J4">
        <f t="shared" ref="J4:J5" si="7">I4-1</f>
        <v>27.286836250245443</v>
      </c>
      <c r="K4">
        <f t="shared" si="0"/>
        <v>63</v>
      </c>
      <c r="L4">
        <f t="shared" ref="L4:L5" si="8">J4+15</f>
        <v>42.286836250245443</v>
      </c>
      <c r="M4">
        <f t="shared" ref="M4:M5" si="9">(L4^2)*(K4/360)*PI()</f>
        <v>983.10138827718572</v>
      </c>
      <c r="N4">
        <f t="shared" ref="N4:N5" si="10">M4-F4</f>
        <v>851.54719590811317</v>
      </c>
      <c r="O4">
        <f>O5-E5</f>
        <v>128</v>
      </c>
      <c r="P4">
        <f t="shared" si="2"/>
        <v>61</v>
      </c>
    </row>
    <row r="5" spans="1:16">
      <c r="A5">
        <v>4</v>
      </c>
      <c r="B5">
        <v>1066</v>
      </c>
      <c r="D5">
        <v>924</v>
      </c>
      <c r="E5">
        <v>52</v>
      </c>
      <c r="F5">
        <f t="shared" si="3"/>
        <v>102.10176124166827</v>
      </c>
      <c r="G5">
        <f t="shared" si="4"/>
        <v>1168.1017612416683</v>
      </c>
      <c r="H5">
        <f t="shared" si="5"/>
        <v>50.735854777823299</v>
      </c>
      <c r="I5">
        <f t="shared" si="6"/>
        <v>35.735854777823299</v>
      </c>
      <c r="J5">
        <f t="shared" si="7"/>
        <v>34.735854777823299</v>
      </c>
      <c r="K5">
        <f>E5-4</f>
        <v>48</v>
      </c>
      <c r="L5">
        <f t="shared" si="8"/>
        <v>49.735854777823299</v>
      </c>
      <c r="M5">
        <f t="shared" si="9"/>
        <v>1036.1622883232101</v>
      </c>
      <c r="N5">
        <f t="shared" si="10"/>
        <v>934.06052708154175</v>
      </c>
      <c r="O5">
        <v>180</v>
      </c>
      <c r="P5">
        <f>O4</f>
        <v>128</v>
      </c>
    </row>
    <row r="8" spans="1:16">
      <c r="B8">
        <v>15</v>
      </c>
      <c r="C8">
        <f>15+15</f>
        <v>30</v>
      </c>
      <c r="D8">
        <f>387+509+1078+1066</f>
        <v>3040</v>
      </c>
      <c r="I8">
        <f>2.49/52</f>
        <v>4.7884615384615387E-2</v>
      </c>
      <c r="J8">
        <f>1-I8</f>
        <v>0.95211538461538459</v>
      </c>
    </row>
    <row r="9" spans="1:16">
      <c r="B9">
        <f>PI()*(B8^2)</f>
        <v>706.85834705770344</v>
      </c>
      <c r="C9">
        <f>PI()*(C8^2)</f>
        <v>2827.4333882308138</v>
      </c>
      <c r="D9">
        <f>(C9-B9)*(3/4)</f>
        <v>1590.4312808798329</v>
      </c>
    </row>
    <row r="11" spans="1:16">
      <c r="H11">
        <f>15*2*PI()*(2.49/360)</f>
        <v>0.65188047561988205</v>
      </c>
      <c r="I11">
        <f>15*2*PI()*(4.5/360)</f>
        <v>1.1780972450961724</v>
      </c>
      <c r="J11">
        <f>15*2*PI()*(10/360)</f>
        <v>2.617993877991494</v>
      </c>
      <c r="K11">
        <f>15*2*PI()*(4/360)</f>
        <v>1.0471975511965976</v>
      </c>
    </row>
    <row r="13" spans="1:16">
      <c r="C13">
        <f>SQRT(3/4)</f>
        <v>0.8660254037844386</v>
      </c>
      <c r="F13" t="s">
        <v>275</v>
      </c>
      <c r="G13" t="s">
        <v>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E855640C04B44CB6036D1F607A81CB" ma:contentTypeVersion="11" ma:contentTypeDescription="Create a new document." ma:contentTypeScope="" ma:versionID="0cddd5eeda3af729e6d8bd9c46d95722">
  <xsd:schema xmlns:xsd="http://www.w3.org/2001/XMLSchema" xmlns:xs="http://www.w3.org/2001/XMLSchema" xmlns:p="http://schemas.microsoft.com/office/2006/metadata/properties" xmlns:ns2="57efd369-0583-4df1-8d11-16bec2784305" xmlns:ns3="f0f5de06-85cd-4a03-8181-c46210183d3a" targetNamespace="http://schemas.microsoft.com/office/2006/metadata/properties" ma:root="true" ma:fieldsID="05894934c298ca005613f5be7fa8b9c6" ns2:_="" ns3:_="">
    <xsd:import namespace="57efd369-0583-4df1-8d11-16bec2784305"/>
    <xsd:import namespace="f0f5de06-85cd-4a03-8181-c46210183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fd369-0583-4df1-8d11-16bec27843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7a97d3-a1e8-4e72-aadf-490c0711c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5de06-85cd-4a03-8181-c46210183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e17749-87c9-449a-b987-2d876054cc35}" ma:internalName="TaxCatchAll" ma:showField="CatchAllData" ma:web="f0f5de06-85cd-4a03-8181-c46210183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f5de06-85cd-4a03-8181-c46210183d3a" xsi:nil="true"/>
    <lcf76f155ced4ddcb4097134ff3c332f xmlns="57efd369-0583-4df1-8d11-16bec27843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9DF4DB-CE45-4672-B4E7-18FD6C623829}"/>
</file>

<file path=customXml/itemProps2.xml><?xml version="1.0" encoding="utf-8"?>
<ds:datastoreItem xmlns:ds="http://schemas.openxmlformats.org/officeDocument/2006/customXml" ds:itemID="{A9522624-1D6D-479E-BD8E-C5FA3E549C98}"/>
</file>

<file path=customXml/itemProps3.xml><?xml version="1.0" encoding="utf-8"?>
<ds:datastoreItem xmlns:ds="http://schemas.openxmlformats.org/officeDocument/2006/customXml" ds:itemID="{394A7851-8A0A-43CD-A54B-6E68416CF5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2025-02-04T13:47:37Z</dcterms:created>
  <dcterms:modified xsi:type="dcterms:W3CDTF">2025-05-01T09:43:14Z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0x010100DBE855640C04B44CB6036D1F607A81CB</vt:lpwstr>
  </property>
  <property fmtid="{D5CDD505-2E9C-101B-9397-08002B2CF9AE}" pid="3" name="MediaServiceImageTags">
    <vt:lpwstr/>
  </property>
</Properties>
</file>