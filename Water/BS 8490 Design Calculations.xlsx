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codeName="ThisWorkbook" defaultThemeVersion="166925"/>
  <mc:AlternateContent xmlns:mc="http://schemas.openxmlformats.org/markup-compatibility/2006">
    <mc:Choice Requires="x15">
      <x15ac:absPath xmlns:x15ac="http://schemas.microsoft.com/office/spreadsheetml/2010/11/ac" url="https://newcastle-my.sharepoint.com/personal/c2017963_newcastle_ac_uk/Documents/Year 3/SESDP 3/"/>
    </mc:Choice>
  </mc:AlternateContent>
  <xr:revisionPtr revIDLastSave="0" documentId="8_{BEDE3BBF-F541-455B-BD3C-7D153BF172D1}" xr6:coauthVersionLast="47" xr6:coauthVersionMax="47" xr10:uidLastSave="{00000000-0000-0000-0000-000000000000}"/>
  <bookViews>
    <workbookView xWindow="-110" yWindow="-110" windowWidth="19420" windowHeight="13020" firstSheet="1" activeTab="1" xr2:uid="{6FF3048D-383C-4D7E-BDDD-91CDB415F1A1}"/>
  </bookViews>
  <sheets>
    <sheet name="BS 8490 Calculations" sheetId="2" r:id="rId1"/>
    <sheet name="System Summary Statistics"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5" i="2" l="1"/>
  <c r="Y103" i="2"/>
  <c r="Y90" i="2"/>
  <c r="Y85" i="2"/>
  <c r="Y77" i="2"/>
  <c r="Y65" i="2"/>
  <c r="Y51" i="2"/>
  <c r="Y45" i="2"/>
  <c r="Y46" i="2" s="1"/>
  <c r="Y38" i="2"/>
  <c r="M29" i="2"/>
  <c r="D29" i="2"/>
  <c r="S51" i="2" l="1"/>
  <c r="Y29" i="2"/>
  <c r="S103" i="2"/>
  <c r="S90" i="2"/>
  <c r="S85" i="2"/>
  <c r="S77" i="2"/>
  <c r="S65" i="2"/>
  <c r="S45" i="2"/>
  <c r="S46" i="2" s="1"/>
  <c r="S38" i="2"/>
  <c r="D7" i="2"/>
  <c r="D39" i="2" s="1"/>
  <c r="S29" i="2"/>
  <c r="M143" i="2"/>
  <c r="M130" i="2"/>
  <c r="M125" i="2"/>
  <c r="M117" i="2"/>
  <c r="M103" i="2"/>
  <c r="M90" i="2"/>
  <c r="M85" i="2"/>
  <c r="M77" i="2"/>
  <c r="Y16" i="2" l="1"/>
  <c r="Y21" i="2" s="1"/>
  <c r="M86" i="2"/>
  <c r="M87" i="2" s="1"/>
  <c r="G5" i="5" s="1"/>
  <c r="M16" i="2"/>
  <c r="S16" i="2"/>
  <c r="Y39" i="2"/>
  <c r="Y30" i="2"/>
  <c r="S39" i="2"/>
  <c r="M39" i="2"/>
  <c r="M47" i="2" s="1"/>
  <c r="M38" i="2"/>
  <c r="M46" i="2"/>
  <c r="M51" i="2"/>
  <c r="M65" i="2"/>
  <c r="D16" i="2"/>
  <c r="D143" i="2"/>
  <c r="D130" i="2"/>
  <c r="D125" i="2"/>
  <c r="D117" i="2"/>
  <c r="D103" i="2"/>
  <c r="D90" i="2"/>
  <c r="D85" i="2"/>
  <c r="D51" i="2"/>
  <c r="D77" i="2"/>
  <c r="D65" i="2"/>
  <c r="D45" i="2"/>
  <c r="D46" i="2" s="1"/>
  <c r="D38" i="2"/>
  <c r="S30" i="2" l="1"/>
  <c r="S21" i="2"/>
  <c r="M30" i="2"/>
  <c r="M21" i="2"/>
  <c r="D30" i="2"/>
  <c r="D21" i="2"/>
  <c r="S78" i="2"/>
  <c r="S79" i="2" s="1"/>
  <c r="S93" i="2" s="1"/>
  <c r="S94" i="2" s="1"/>
  <c r="S96" i="2" s="1"/>
  <c r="S86" i="2"/>
  <c r="M126" i="2"/>
  <c r="M118" i="2"/>
  <c r="M119" i="2" s="1"/>
  <c r="E5" i="5" s="1"/>
  <c r="M40" i="2"/>
  <c r="Y86" i="2"/>
  <c r="Y78" i="2"/>
  <c r="Y79" i="2" s="1"/>
  <c r="E7" i="5" s="1"/>
  <c r="S40" i="2"/>
  <c r="S47" i="2"/>
  <c r="S48" i="2" s="1"/>
  <c r="G6" i="5" s="1"/>
  <c r="Y40" i="2"/>
  <c r="G7" i="5" s="1"/>
  <c r="Y47" i="2"/>
  <c r="Y48" i="2" s="1"/>
  <c r="M48" i="2"/>
  <c r="M78" i="2"/>
  <c r="D86" i="2"/>
  <c r="D78" i="2"/>
  <c r="D79" i="2" s="1"/>
  <c r="D47" i="2"/>
  <c r="D48" i="2" s="1"/>
  <c r="I4" i="5" s="1"/>
  <c r="D40" i="2"/>
  <c r="D66" i="2" s="1"/>
  <c r="S104" i="2" l="1"/>
  <c r="M54" i="2"/>
  <c r="M55" i="2" s="1"/>
  <c r="M57" i="2" s="1"/>
  <c r="I5" i="5"/>
  <c r="S106" i="2"/>
  <c r="S108" i="2" s="1"/>
  <c r="E6" i="5"/>
  <c r="M133" i="2"/>
  <c r="M134" i="2" s="1"/>
  <c r="M136" i="2" s="1"/>
  <c r="M144" i="2"/>
  <c r="M66" i="2"/>
  <c r="Y54" i="2"/>
  <c r="Y55" i="2" s="1"/>
  <c r="Y57" i="2" s="1"/>
  <c r="Y66" i="2"/>
  <c r="S54" i="2"/>
  <c r="S55" i="2" s="1"/>
  <c r="S57" i="2" s="1"/>
  <c r="S66" i="2"/>
  <c r="Y93" i="2"/>
  <c r="Y94" i="2" s="1"/>
  <c r="Y96" i="2" s="1"/>
  <c r="Y104" i="2"/>
  <c r="D93" i="2"/>
  <c r="D94" i="2" s="1"/>
  <c r="D96" i="2" s="1"/>
  <c r="D104" i="2"/>
  <c r="D106" i="2" s="1"/>
  <c r="M79" i="2"/>
  <c r="D126" i="2"/>
  <c r="D118" i="2"/>
  <c r="D87" i="2"/>
  <c r="G4" i="5" s="1"/>
  <c r="D54" i="2"/>
  <c r="M68" i="2" l="1"/>
  <c r="M70" i="2" s="1"/>
  <c r="M146" i="2"/>
  <c r="M148" i="2" s="1"/>
  <c r="Y68" i="2"/>
  <c r="Y70" i="2" s="1"/>
  <c r="Y81" i="2" s="1"/>
  <c r="S68" i="2"/>
  <c r="S70" i="2" s="1"/>
  <c r="Y106" i="2"/>
  <c r="Y108" i="2" s="1"/>
  <c r="M93" i="2"/>
  <c r="M94" i="2" s="1"/>
  <c r="M96" i="2" s="1"/>
  <c r="M104" i="2"/>
  <c r="M106" i="2" s="1"/>
  <c r="M108" i="2" s="1"/>
  <c r="H5" i="5" s="1"/>
  <c r="D55" i="2"/>
  <c r="D57" i="2" s="1"/>
  <c r="D68" i="2" s="1"/>
  <c r="D70" i="2" s="1"/>
  <c r="D108" i="2"/>
  <c r="H4" i="5" s="1"/>
  <c r="D119" i="2"/>
  <c r="F7" i="5" l="1"/>
  <c r="S81" i="2"/>
  <c r="F6" i="5"/>
  <c r="M121" i="2"/>
  <c r="F5" i="5"/>
  <c r="D144" i="2"/>
  <c r="E4" i="5"/>
  <c r="D121" i="2"/>
  <c r="F4" i="5"/>
  <c r="D133" i="2"/>
  <c r="D134" i="2" s="1"/>
  <c r="D136" i="2" s="1"/>
  <c r="D146" i="2" s="1"/>
  <c r="D148" i="2" s="1"/>
</calcChain>
</file>

<file path=xl/sharedStrings.xml><?xml version="1.0" encoding="utf-8"?>
<sst xmlns="http://schemas.openxmlformats.org/spreadsheetml/2006/main" count="466" uniqueCount="132">
  <si>
    <t>Rainfall Calculations</t>
  </si>
  <si>
    <t>(BS EN 12056-3:2000)</t>
  </si>
  <si>
    <t>Rainfall Intensity (l/s/m^2)</t>
  </si>
  <si>
    <t>The rainfall calculations convert the characteristic rianfall intensity supplied in the brief to a final design value</t>
  </si>
  <si>
    <t>Reduced Climate Change Allowance</t>
  </si>
  <si>
    <t xml:space="preserve">This is inflated by the upper 15% of the total 45% government climate change allowance from section 6.1.5 </t>
  </si>
  <si>
    <t>Factor of safety</t>
  </si>
  <si>
    <t>10% safety factor as mandated by BS 8490</t>
  </si>
  <si>
    <t>Design Intensity (l/s/m^2)</t>
  </si>
  <si>
    <t>Roof area and volume calculations</t>
  </si>
  <si>
    <t>(BS EN 12056)</t>
  </si>
  <si>
    <t>Roof Section:</t>
  </si>
  <si>
    <t>(Combined atrium and greenroof)</t>
  </si>
  <si>
    <t>Drainage method:</t>
  </si>
  <si>
    <t>2 stage siphon</t>
  </si>
  <si>
    <t>Single stage siphon</t>
  </si>
  <si>
    <t>Roof area (m^2)</t>
  </si>
  <si>
    <t>Total flow (m^3/s)</t>
  </si>
  <si>
    <t>126.5% calculated in section 6.1.5</t>
  </si>
  <si>
    <t>Gravitational overflow calculations</t>
  </si>
  <si>
    <t>Overflow volume (m^3/s)</t>
  </si>
  <si>
    <t>33% (6.1.5) to ensure safe operation in high volume events</t>
  </si>
  <si>
    <t>Appropriate overflow pipe D (m)</t>
  </si>
  <si>
    <t>Calculated using table 8 (6.1.1 - BS EN 12056) with filling degree 0.33</t>
  </si>
  <si>
    <t>Appropriate overflow pipe D</t>
  </si>
  <si>
    <t xml:space="preserve">Pipe calculations </t>
  </si>
  <si>
    <t>(BS 8490)</t>
  </si>
  <si>
    <t xml:space="preserve">BS 8490 </t>
  </si>
  <si>
    <t>Outlets</t>
  </si>
  <si>
    <t>step:</t>
  </si>
  <si>
    <t>a)</t>
  </si>
  <si>
    <t>Area/outlet (m)</t>
  </si>
  <si>
    <t>Inflow/outlet (m^3/s)</t>
  </si>
  <si>
    <t>Gutter height (m)</t>
  </si>
  <si>
    <t>Level of inner eave (bottom of roof slope)</t>
  </si>
  <si>
    <t>Discharge height (m)</t>
  </si>
  <si>
    <t>Transfer Gulley -&gt; Downpipe Outlet</t>
  </si>
  <si>
    <t xml:space="preserve">BS 8490 specifies working upwards from the lowest point (downpipe outlet) </t>
  </si>
  <si>
    <t>Collector Pipe -&gt; Downpipe Outlet</t>
  </si>
  <si>
    <t>Downpipe Outlet (4)</t>
  </si>
  <si>
    <t>Downpipe Outlet (3)</t>
  </si>
  <si>
    <t>b)</t>
  </si>
  <si>
    <t>Diamter (m)</t>
  </si>
  <si>
    <t>Area (m^2)</t>
  </si>
  <si>
    <t>Q (m^3/s)</t>
  </si>
  <si>
    <t xml:space="preserve">The Q value considers the total flow of all the outlets which are combined in the collector pipe </t>
  </si>
  <si>
    <t>V  (m/s)</t>
  </si>
  <si>
    <t>V (m/s)</t>
  </si>
  <si>
    <t>Z (m)</t>
  </si>
  <si>
    <t>c)</t>
  </si>
  <si>
    <t>h (outlet) (m)</t>
  </si>
  <si>
    <t>Pressure head at the outlet is 0 (atmospheric pressure)</t>
  </si>
  <si>
    <t>h (m)</t>
  </si>
  <si>
    <t>Transfer Gulley Outlet (3)</t>
  </si>
  <si>
    <t>Collector Pipe Outlet (2)</t>
  </si>
  <si>
    <t>Diameter (m)</t>
  </si>
  <si>
    <t>As the continuity equation says Q must be constant, we can adjust the transfer gulley outlet to prevent insufficient or excessive flow velocity</t>
  </si>
  <si>
    <t xml:space="preserve">V (m/s)         </t>
  </si>
  <si>
    <t xml:space="preserve">V (m/s)        </t>
  </si>
  <si>
    <t xml:space="preserve">V (m/s)          </t>
  </si>
  <si>
    <t xml:space="preserve">V (m/s)      </t>
  </si>
  <si>
    <t>z (m)</t>
  </si>
  <si>
    <t>d)</t>
  </si>
  <si>
    <t>Δz (3-2) (m)</t>
  </si>
  <si>
    <t>k(s) (m)</t>
  </si>
  <si>
    <t>0.15mm is used for HDPE as the pipe roughness as specified in BS 8490</t>
  </si>
  <si>
    <t>Re</t>
  </si>
  <si>
    <t>λ</t>
  </si>
  <si>
    <t>L</t>
  </si>
  <si>
    <t>h(f) (m)</t>
  </si>
  <si>
    <t>Junctions:</t>
  </si>
  <si>
    <t xml:space="preserve">Kl </t>
  </si>
  <si>
    <t>Number</t>
  </si>
  <si>
    <t>Long radii 90 degree</t>
  </si>
  <si>
    <t>Siphonic outlet</t>
  </si>
  <si>
    <t xml:space="preserve">Siphon break </t>
  </si>
  <si>
    <t>K(l) (total)</t>
  </si>
  <si>
    <t>h(l) (m)</t>
  </si>
  <si>
    <t>Δh tot. (m)</t>
  </si>
  <si>
    <t>e)</t>
  </si>
  <si>
    <t>h3 (m)</t>
  </si>
  <si>
    <t xml:space="preserve">The pressure head at any point in the system must be less than -8.8m as specified </t>
  </si>
  <si>
    <t>&gt;-8.8m (as per BS 8940)</t>
  </si>
  <si>
    <t>Collector Pipe -&gt; Transfer Gulley</t>
  </si>
  <si>
    <t>Siphonic Gutter Outlet -&gt; Collector Pipe</t>
  </si>
  <si>
    <t>f)</t>
  </si>
  <si>
    <t>Transfer Gulley (3)</t>
  </si>
  <si>
    <t xml:space="preserve">The design process then repeats from the higher elevation point from the previous equation </t>
  </si>
  <si>
    <t>Transfer Gulley Centreline (3)</t>
  </si>
  <si>
    <t>f2)</t>
  </si>
  <si>
    <t>Tailpipe Outlet (2)</t>
  </si>
  <si>
    <t>b2)</t>
  </si>
  <si>
    <t>b3)</t>
  </si>
  <si>
    <t xml:space="preserve">V (m/s)           </t>
  </si>
  <si>
    <t>V (m/s)           (post tailpipe confluence)</t>
  </si>
  <si>
    <t>(&gt;1m/s)</t>
  </si>
  <si>
    <t>c2)</t>
  </si>
  <si>
    <t>h</t>
  </si>
  <si>
    <t>The pressure is returned to 0 (atmospheric pressure) as the transfer gulley is vented. This prevents excessive negative pressures which breach the limits of BS 8490 to ensure safe and reliable operation</t>
  </si>
  <si>
    <t>c3)</t>
  </si>
  <si>
    <t>Collector Pipe (2)</t>
  </si>
  <si>
    <t>Siphonic Outlet (1)</t>
  </si>
  <si>
    <t>d2)</t>
  </si>
  <si>
    <t>d3)</t>
  </si>
  <si>
    <t>Δz (m)</t>
  </si>
  <si>
    <t>L (m)</t>
  </si>
  <si>
    <t xml:space="preserve">Δh tot. </t>
  </si>
  <si>
    <t>e2)</t>
  </si>
  <si>
    <t>h2 (m)</t>
  </si>
  <si>
    <t>Pressure head remains more negative than 0m (ensuring additional capacity) but does not exceed the limit of -8.8m (preventing cavitation)</t>
  </si>
  <si>
    <t>Δz  - Δh</t>
  </si>
  <si>
    <t xml:space="preserve">Elevation head exceeds losses considerably so rapid priming of system is ensured </t>
  </si>
  <si>
    <t>Tailpipe Outlet</t>
  </si>
  <si>
    <t xml:space="preserve">V (m/s)   </t>
  </si>
  <si>
    <t>A value of 0m/s is specified in BS 8490 as the flow into the gutter outlet is very small</t>
  </si>
  <si>
    <t>As there are no pressure comparisions to be made (both points at atmospheric pressure), the total elevation head must considerably exceed the frictional losses which ensure that the system will prime in under 60s (BS 8490 requirement)</t>
  </si>
  <si>
    <t xml:space="preserve">Roof section </t>
  </si>
  <si>
    <t>Single/Dual Siphon System</t>
  </si>
  <si>
    <t>Tailpipe Outlet V (m/s)</t>
  </si>
  <si>
    <t>Tail/Collector Pipe Pressure Head (m)</t>
  </si>
  <si>
    <t>Primary downpipe V (m/s) (1)</t>
  </si>
  <si>
    <t>Transfer Gulley Pressure Head (m)</t>
  </si>
  <si>
    <t>Secondary Downpipe V (m/s) (2)</t>
  </si>
  <si>
    <t>Dual</t>
  </si>
  <si>
    <t>S</t>
  </si>
  <si>
    <t>Single</t>
  </si>
  <si>
    <t>n/a</t>
  </si>
  <si>
    <t>BS 8490 Limit:</t>
  </si>
  <si>
    <t>&gt;1m/s</t>
  </si>
  <si>
    <t>&gt;-8.8m</t>
  </si>
  <si>
    <t>&gt;2.2m/s</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</si>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</sst>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font>
      <sz val="11"/>
      <color theme="1"/>
      <name val="Calibri"/>
      <family val="2"/>
      <scheme val="minor"/>
    </font>
    <font>
      <sz val="11"/>
      <color theme="1"/>
      <name val="Calibri"/>
      <family val="2"/>
      <scheme val="minor"/>
    </font>
    <font>
      <b/>
      <u/>
      <sz val="11"/>
      <color theme="1"/>
      <name val="Calibri"/>
      <family val="2"/>
      <scheme val="minor"/>
    </font>
    <font>
      <b/>
      <sz val="11"/>
      <color theme="1"/>
      <name val="Calibri"/>
      <family val="2"/>
      <scheme val="minor"/>
    </font>
    <font>
      <u/>
      <sz val="11"/>
      <color theme="1"/>
      <name val="Calibri"/>
      <family val="2"/>
      <scheme val="minor"/>
    </font>
    <font>
      <b/>
      <u/>
      <sz val="12"/>
      <color theme="1"/>
      <name val="Calibri"/>
      <family val="2"/>
      <scheme val="minor"/>
    </font>
    <font>
      <sz val="11"/>
      <color rgb="FF00B050"/>
      <name val="Calibri"/>
      <family val="2"/>
      <scheme val="minor"/>
    </font>
    <font>
      <sz val="12"/>
      <color rgb="FF00B050"/>
      <name val="Calibri"/>
      <family val="2"/>
      <scheme val="minor"/>
    </font>
    <font>
      <b/>
      <sz val="11"/>
      <color rgb="FF00B050"/>
      <name val="Calibri"/>
      <family val="2"/>
      <scheme val="minor"/>
    </font>
  </fonts>
  <fills count="3">
    <fill>
      <patternFill patternType="none"/>
    </fill>
    <fill>
      <patternFill patternType="gray125"/>
    </fill>
    <fill>
      <patternFill patternType="solid">
        <fgColor rgb="FFFF0000"/>
        <bgColor indexed="64"/>
      </patternFill>
    </fill>
  </fills>
  <borders count="23">
    <border>
      <left/>
      <right/>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62">
    <xf numFmtId="0" fontId="0" fillId="0" borderId="0" xfId="0"/>
    <xf numFmtId="0" fontId="0" fillId="0" borderId="0" xfId="0" applyAlignment="1">
      <alignment wrapText="1"/>
    </xf>
    <xf numFmtId="0" fontId="0" fillId="0" borderId="2" xfId="0" applyBorder="1"/>
    <xf numFmtId="0" fontId="0" fillId="0" borderId="3" xfId="0" applyBorder="1"/>
    <xf numFmtId="0" fontId="0" fillId="0" borderId="4" xfId="0" applyBorder="1"/>
    <xf numFmtId="0" fontId="2" fillId="0" borderId="0" xfId="0" applyFont="1"/>
    <xf numFmtId="0" fontId="0" fillId="0" borderId="1" xfId="0" applyBorder="1"/>
    <xf numFmtId="164" fontId="0" fillId="0" borderId="2" xfId="1" applyNumberFormat="1" applyFont="1" applyBorder="1"/>
    <xf numFmtId="9" fontId="0" fillId="0" borderId="2" xfId="0" applyNumberFormat="1" applyBorder="1"/>
    <xf numFmtId="0" fontId="0" fillId="0" borderId="7" xfId="0" applyBorder="1" applyAlignment="1">
      <alignment wrapText="1"/>
    </xf>
    <xf numFmtId="0" fontId="0" fillId="0" borderId="8" xfId="0" applyBorder="1" applyAlignment="1">
      <alignment wrapText="1"/>
    </xf>
    <xf numFmtId="0" fontId="0" fillId="0" borderId="8" xfId="0" applyBorder="1"/>
    <xf numFmtId="0" fontId="0" fillId="0" borderId="11" xfId="0" applyBorder="1"/>
    <xf numFmtId="0" fontId="2" fillId="0" borderId="11" xfId="0" applyFont="1" applyBorder="1"/>
    <xf numFmtId="0" fontId="0" fillId="0" borderId="11" xfId="0" applyBorder="1" applyAlignment="1">
      <alignment wrapText="1"/>
    </xf>
    <xf numFmtId="0" fontId="3" fillId="0" borderId="11" xfId="0" applyFont="1" applyBorder="1"/>
    <xf numFmtId="0" fontId="0" fillId="0" borderId="12" xfId="0" applyBorder="1"/>
    <xf numFmtId="0" fontId="5" fillId="0" borderId="13" xfId="0" applyFont="1" applyBorder="1"/>
    <xf numFmtId="0" fontId="5" fillId="0" borderId="5" xfId="0" applyFont="1" applyBorder="1"/>
    <xf numFmtId="0" fontId="5" fillId="0" borderId="6" xfId="0" applyFont="1" applyBorder="1"/>
    <xf numFmtId="0" fontId="0" fillId="0" borderId="2" xfId="0" applyBorder="1" applyAlignment="1">
      <alignment wrapText="1"/>
    </xf>
    <xf numFmtId="0" fontId="4" fillId="0" borderId="0" xfId="0" applyFont="1"/>
    <xf numFmtId="0" fontId="4" fillId="0" borderId="2" xfId="0" applyFont="1" applyBorder="1"/>
    <xf numFmtId="0" fontId="0" fillId="0" borderId="14" xfId="0"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165" fontId="0" fillId="0" borderId="14" xfId="0" applyNumberFormat="1" applyBorder="1" applyAlignment="1">
      <alignment horizontal="center"/>
    </xf>
    <xf numFmtId="165" fontId="0" fillId="0" borderId="19" xfId="0" applyNumberFormat="1" applyBorder="1" applyAlignment="1">
      <alignment horizontal="center"/>
    </xf>
    <xf numFmtId="165" fontId="0" fillId="0" borderId="21" xfId="0" applyNumberFormat="1" applyBorder="1" applyAlignment="1">
      <alignment horizontal="center"/>
    </xf>
    <xf numFmtId="0" fontId="0" fillId="0" borderId="0" xfId="0" applyAlignment="1">
      <alignment horizontal="center" wrapText="1"/>
    </xf>
    <xf numFmtId="0" fontId="3" fillId="0" borderId="0" xfId="0" applyFont="1"/>
    <xf numFmtId="0" fontId="5" fillId="0" borderId="0" xfId="0" applyFont="1"/>
    <xf numFmtId="0" fontId="6" fillId="0" borderId="0" xfId="0" applyFont="1"/>
    <xf numFmtId="0" fontId="5" fillId="0" borderId="0" xfId="0" applyFont="1" applyAlignment="1">
      <alignment horizontal="center"/>
    </xf>
    <xf numFmtId="0" fontId="7" fillId="0" borderId="0" xfId="0" applyFont="1" applyAlignment="1">
      <alignment horizontal="center" wrapText="1"/>
    </xf>
    <xf numFmtId="0" fontId="6" fillId="0" borderId="0" xfId="0" applyFont="1" applyAlignment="1">
      <alignment horizontal="center" wrapText="1"/>
    </xf>
    <xf numFmtId="0" fontId="6" fillId="0" borderId="11" xfId="0" applyFont="1" applyBorder="1" applyAlignment="1">
      <alignment wrapText="1"/>
    </xf>
    <xf numFmtId="0" fontId="6" fillId="0" borderId="0" xfId="0" applyFont="1" applyAlignment="1">
      <alignment wrapText="1"/>
    </xf>
    <xf numFmtId="0" fontId="0" fillId="0" borderId="10" xfId="0" applyBorder="1" applyAlignment="1">
      <alignment wrapText="1"/>
    </xf>
    <xf numFmtId="0" fontId="0" fillId="0" borderId="9" xfId="0" applyBorder="1" applyAlignment="1">
      <alignment horizontal="left" wrapText="1"/>
    </xf>
    <xf numFmtId="0" fontId="0" fillId="0" borderId="0" xfId="0" applyAlignment="1">
      <alignment horizontal="center"/>
    </xf>
    <xf numFmtId="0" fontId="0" fillId="0" borderId="0" xfId="0" applyAlignment="1">
      <alignment vertical="top"/>
    </xf>
    <xf numFmtId="0" fontId="0" fillId="0" borderId="0" xfId="0" applyAlignment="1">
      <alignment horizontal="right"/>
    </xf>
    <xf numFmtId="0" fontId="0" fillId="2" borderId="0" xfId="0" applyFill="1" applyAlignment="1">
      <alignment horizontal="center"/>
    </xf>
    <xf numFmtId="0" fontId="0" fillId="0" borderId="15"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xf>
    <xf numFmtId="0" fontId="0" fillId="0" borderId="22" xfId="0" applyBorder="1" applyAlignment="1">
      <alignment horizontal="center"/>
    </xf>
    <xf numFmtId="0" fontId="8" fillId="0" borderId="0" xfId="0" applyFont="1"/>
    <xf numFmtId="0" fontId="2" fillId="0" borderId="0" xfId="0" applyFont="1" applyAlignment="1">
      <alignment wrapText="1"/>
    </xf>
    <xf numFmtId="0" fontId="7" fillId="0" borderId="11" xfId="0" applyFont="1" applyBorder="1" applyAlignment="1">
      <alignment horizontal="center" wrapText="1"/>
    </xf>
    <xf numFmtId="0" fontId="7" fillId="0" borderId="0" xfId="0" applyFont="1" applyAlignment="1">
      <alignment horizontal="center" wrapText="1"/>
    </xf>
    <xf numFmtId="0" fontId="6" fillId="0" borderId="11" xfId="0" applyFont="1" applyBorder="1" applyAlignment="1">
      <alignment horizontal="center" wrapText="1"/>
    </xf>
    <xf numFmtId="0" fontId="6" fillId="0" borderId="0" xfId="0" applyFont="1" applyAlignment="1">
      <alignment horizontal="center" wrapText="1"/>
    </xf>
    <xf numFmtId="0" fontId="5" fillId="0" borderId="13"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0" fillId="0" borderId="10" xfId="0" applyBorder="1" applyAlignment="1">
      <alignment horizontal="center" wrapText="1"/>
    </xf>
    <xf numFmtId="0" fontId="0" fillId="0" borderId="0" xfId="0" applyAlignment="1">
      <alignment horizontal="center" wrapText="1"/>
    </xf>
    <xf numFmtId="0" fontId="5" fillId="0" borderId="0" xfId="0" applyFont="1" applyAlignment="1">
      <alignment horizontal="center"/>
    </xf>
  </cellXfs>
  <cellStyles count="2">
    <cellStyle name="Normal" xfId="0" builtinId="0"/>
    <cellStyle name="Percent" xfId="1" builtinId="5"/>
  </cellStyles>
  <dxfs count="17">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0AD01-2783-41CB-B547-A4682F44DF3A}">
  <dimension ref="B1:AF152"/>
  <sheetViews>
    <sheetView showGridLines="0" topLeftCell="A68" zoomScale="85" zoomScaleNormal="85" workbookViewId="0">
      <selection activeCell="P80" sqref="P80"/>
    </sheetView>
  </sheetViews>
  <sheetFormatPr defaultRowHeight="14.45"/>
  <cols>
    <col min="3" max="3" width="18.42578125" customWidth="1"/>
    <col min="4" max="4" width="12.5703125" customWidth="1"/>
    <col min="5" max="7" width="11.85546875" customWidth="1"/>
    <col min="12" max="12" width="18.85546875" customWidth="1"/>
    <col min="14" max="14" width="10.85546875" customWidth="1"/>
    <col min="16" max="16" width="16.140625" customWidth="1"/>
    <col min="18" max="18" width="21.42578125" customWidth="1"/>
    <col min="19" max="19" width="11" customWidth="1"/>
    <col min="22" max="22" width="14.85546875" customWidth="1"/>
    <col min="24" max="24" width="19.42578125" customWidth="1"/>
    <col min="25" max="25" width="12" customWidth="1"/>
    <col min="30" max="30" width="18.140625" customWidth="1"/>
    <col min="31" max="31" width="11.5703125" customWidth="1"/>
  </cols>
  <sheetData>
    <row r="1" spans="3:31">
      <c r="C1" s="21"/>
    </row>
    <row r="2" spans="3:31">
      <c r="C2" s="5" t="s">
        <v>0</v>
      </c>
      <c r="D2" s="31" t="s">
        <v>1</v>
      </c>
      <c r="E2" s="31"/>
    </row>
    <row r="3" spans="3:31" ht="15" thickBot="1"/>
    <row r="4" spans="3:31" ht="29.1">
      <c r="C4" s="9" t="s">
        <v>2</v>
      </c>
      <c r="D4" s="6">
        <v>0.02</v>
      </c>
      <c r="F4" s="33" t="s">
        <v>3</v>
      </c>
    </row>
    <row r="5" spans="3:31" ht="29.1">
      <c r="C5" s="10" t="s">
        <v>4</v>
      </c>
      <c r="D5" s="7">
        <v>0.15</v>
      </c>
      <c r="F5" s="33" t="s">
        <v>5</v>
      </c>
    </row>
    <row r="6" spans="3:31">
      <c r="C6" s="11" t="s">
        <v>6</v>
      </c>
      <c r="D6" s="8">
        <v>0.1</v>
      </c>
      <c r="F6" s="33" t="s">
        <v>7</v>
      </c>
    </row>
    <row r="7" spans="3:31" ht="29.45" thickBot="1">
      <c r="C7" s="40" t="s">
        <v>8</v>
      </c>
      <c r="D7" s="4">
        <f>D4*(1+D5)*(1+D6)</f>
        <v>2.5300000000000003E-2</v>
      </c>
    </row>
    <row r="10" spans="3:31">
      <c r="C10" s="5" t="s">
        <v>9</v>
      </c>
      <c r="D10" s="31"/>
      <c r="E10" s="31" t="s">
        <v>10</v>
      </c>
    </row>
    <row r="12" spans="3:31">
      <c r="C12" s="31" t="s">
        <v>11</v>
      </c>
      <c r="D12" s="31">
        <v>1</v>
      </c>
      <c r="E12" s="31"/>
      <c r="F12" s="31"/>
      <c r="G12" s="31"/>
      <c r="H12" s="31"/>
      <c r="I12" s="31"/>
      <c r="J12" s="31"/>
      <c r="K12" s="31"/>
      <c r="L12" s="31" t="s">
        <v>11</v>
      </c>
      <c r="M12" s="31">
        <v>2</v>
      </c>
      <c r="N12" s="31"/>
      <c r="O12" s="31"/>
      <c r="P12" s="31"/>
      <c r="Q12" s="31"/>
      <c r="R12" s="31" t="s">
        <v>11</v>
      </c>
      <c r="S12" s="31">
        <v>3</v>
      </c>
      <c r="T12" s="31" t="s">
        <v>12</v>
      </c>
      <c r="U12" s="31"/>
      <c r="V12" s="31"/>
      <c r="W12" s="31"/>
      <c r="X12" s="31" t="s">
        <v>11</v>
      </c>
      <c r="Y12" s="31">
        <v>4</v>
      </c>
      <c r="Z12" s="31"/>
      <c r="AA12" s="31"/>
      <c r="AB12" s="31"/>
      <c r="AC12" s="31"/>
      <c r="AD12" s="31"/>
      <c r="AE12" s="31"/>
    </row>
    <row r="13" spans="3:31" ht="41.25" customHeight="1">
      <c r="C13" t="s">
        <v>13</v>
      </c>
      <c r="D13" s="1" t="s">
        <v>14</v>
      </c>
      <c r="L13" t="s">
        <v>13</v>
      </c>
      <c r="M13" s="1" t="s">
        <v>14</v>
      </c>
      <c r="R13" t="s">
        <v>13</v>
      </c>
      <c r="S13" s="1" t="s">
        <v>15</v>
      </c>
      <c r="X13" t="s">
        <v>13</v>
      </c>
      <c r="Y13" s="1" t="s">
        <v>15</v>
      </c>
      <c r="AE13" s="1"/>
    </row>
    <row r="15" spans="3:31">
      <c r="C15" t="s">
        <v>16</v>
      </c>
      <c r="D15">
        <v>1062.7</v>
      </c>
      <c r="L15" t="s">
        <v>16</v>
      </c>
      <c r="M15">
        <v>1074.0999999999999</v>
      </c>
      <c r="R15" t="s">
        <v>16</v>
      </c>
      <c r="S15">
        <v>470</v>
      </c>
      <c r="X15" t="s">
        <v>16</v>
      </c>
      <c r="Y15">
        <v>385.8</v>
      </c>
    </row>
    <row r="16" spans="3:31">
      <c r="C16" t="s">
        <v>17</v>
      </c>
      <c r="D16">
        <f>D15*D7/1000</f>
        <v>2.6886310000000004E-2</v>
      </c>
      <c r="E16" s="33" t="s">
        <v>18</v>
      </c>
      <c r="L16" t="s">
        <v>17</v>
      </c>
      <c r="M16">
        <f>M15*D7/1000</f>
        <v>2.7174730000000001E-2</v>
      </c>
      <c r="R16" t="s">
        <v>17</v>
      </c>
      <c r="S16">
        <f>S15*D7/1000</f>
        <v>1.1891000000000002E-2</v>
      </c>
      <c r="X16" t="s">
        <v>17</v>
      </c>
      <c r="Y16">
        <f>Y15*D7/1000</f>
        <v>9.7607400000000021E-3</v>
      </c>
    </row>
    <row r="17" spans="2:30">
      <c r="E17" s="33"/>
    </row>
    <row r="18" spans="2:30">
      <c r="E18" s="33"/>
    </row>
    <row r="19" spans="2:30">
      <c r="C19" s="5" t="s">
        <v>19</v>
      </c>
      <c r="D19" s="5"/>
      <c r="E19" s="50"/>
      <c r="F19" s="31" t="s">
        <v>10</v>
      </c>
    </row>
    <row r="20" spans="2:30">
      <c r="E20" s="33"/>
    </row>
    <row r="21" spans="2:30" ht="29.1">
      <c r="C21" s="1" t="s">
        <v>20</v>
      </c>
      <c r="D21">
        <f>(D16*159.5/126.5)-D16</f>
        <v>7.013819999999997E-3</v>
      </c>
      <c r="E21" s="33" t="s">
        <v>21</v>
      </c>
      <c r="L21" s="1" t="s">
        <v>20</v>
      </c>
      <c r="M21">
        <f>(M16*159.5/126.5)-M16</f>
        <v>7.0890600000000012E-3</v>
      </c>
      <c r="R21" s="1" t="s">
        <v>20</v>
      </c>
      <c r="S21">
        <f>(S16*159.5/126.5)-S16</f>
        <v>3.1020000000000006E-3</v>
      </c>
      <c r="X21" s="1" t="s">
        <v>20</v>
      </c>
      <c r="Y21">
        <f>(Y16*159.5/126.5)-Y16</f>
        <v>2.5462800000000015E-3</v>
      </c>
    </row>
    <row r="22" spans="2:30" ht="29.1">
      <c r="C22" s="1" t="s">
        <v>22</v>
      </c>
      <c r="D22">
        <v>9.5000000000000001E-2</v>
      </c>
      <c r="E22" s="33" t="s">
        <v>23</v>
      </c>
      <c r="L22" s="1" t="s">
        <v>24</v>
      </c>
      <c r="M22">
        <v>9.5000000000000001E-2</v>
      </c>
      <c r="R22" s="1" t="s">
        <v>24</v>
      </c>
      <c r="S22">
        <v>6.5000000000000002E-2</v>
      </c>
      <c r="X22" s="1" t="s">
        <v>24</v>
      </c>
      <c r="Y22">
        <v>0.06</v>
      </c>
    </row>
    <row r="23" spans="2:30">
      <c r="C23" s="1"/>
      <c r="E23" s="33"/>
      <c r="L23" s="1"/>
      <c r="R23" s="1"/>
      <c r="X23" s="1"/>
    </row>
    <row r="24" spans="2:30">
      <c r="C24" s="1"/>
      <c r="E24" s="33"/>
      <c r="L24" s="1"/>
      <c r="R24" s="1"/>
      <c r="X24" s="1"/>
    </row>
    <row r="25" spans="2:30">
      <c r="C25" s="51" t="s">
        <v>25</v>
      </c>
      <c r="D25" s="31" t="s">
        <v>26</v>
      </c>
      <c r="E25" s="33"/>
      <c r="L25" s="1"/>
      <c r="R25" s="1"/>
      <c r="X25" s="1"/>
    </row>
    <row r="26" spans="2:30">
      <c r="E26" s="33"/>
    </row>
    <row r="27" spans="2:30">
      <c r="B27" t="s">
        <v>27</v>
      </c>
      <c r="C27" t="s">
        <v>28</v>
      </c>
      <c r="D27">
        <v>3</v>
      </c>
      <c r="L27" t="s">
        <v>28</v>
      </c>
      <c r="M27">
        <v>3</v>
      </c>
      <c r="R27" t="s">
        <v>28</v>
      </c>
      <c r="S27">
        <v>2</v>
      </c>
      <c r="X27" t="s">
        <v>28</v>
      </c>
      <c r="Y27">
        <v>2</v>
      </c>
    </row>
    <row r="28" spans="2:30">
      <c r="B28" t="s">
        <v>29</v>
      </c>
    </row>
    <row r="29" spans="2:30">
      <c r="B29" t="s">
        <v>30</v>
      </c>
      <c r="C29" t="s">
        <v>31</v>
      </c>
      <c r="D29">
        <f>D15/D27</f>
        <v>354.23333333333335</v>
      </c>
      <c r="L29" t="s">
        <v>31</v>
      </c>
      <c r="M29">
        <f>M15/M27</f>
        <v>358.0333333333333</v>
      </c>
      <c r="R29" t="s">
        <v>31</v>
      </c>
      <c r="S29">
        <f>S15/S27</f>
        <v>235</v>
      </c>
      <c r="X29" t="s">
        <v>31</v>
      </c>
      <c r="Y29">
        <f>Y15/Y27</f>
        <v>192.9</v>
      </c>
    </row>
    <row r="30" spans="2:30" ht="29.1">
      <c r="C30" s="1" t="s">
        <v>32</v>
      </c>
      <c r="D30">
        <f>D16/D27</f>
        <v>8.9621033333333339E-3</v>
      </c>
      <c r="L30" s="1" t="s">
        <v>32</v>
      </c>
      <c r="M30">
        <f>M16/M27</f>
        <v>9.0582433333333337E-3</v>
      </c>
      <c r="R30" s="1" t="s">
        <v>32</v>
      </c>
      <c r="S30">
        <f>S16/2</f>
        <v>5.9455000000000011E-3</v>
      </c>
      <c r="X30" s="1" t="s">
        <v>32</v>
      </c>
      <c r="Y30">
        <f>Y16/Y27</f>
        <v>4.8803700000000011E-3</v>
      </c>
      <c r="AD30" s="1"/>
    </row>
    <row r="31" spans="2:30">
      <c r="C31" s="1" t="s">
        <v>33</v>
      </c>
      <c r="D31">
        <v>20</v>
      </c>
      <c r="F31" s="33" t="s">
        <v>34</v>
      </c>
      <c r="L31" s="1" t="s">
        <v>33</v>
      </c>
      <c r="M31">
        <v>16</v>
      </c>
      <c r="R31" s="1" t="s">
        <v>33</v>
      </c>
      <c r="S31">
        <v>12</v>
      </c>
      <c r="X31" s="1" t="s">
        <v>33</v>
      </c>
      <c r="Y31">
        <v>8</v>
      </c>
      <c r="AD31" s="1"/>
    </row>
    <row r="32" spans="2:30">
      <c r="C32" s="1" t="s">
        <v>35</v>
      </c>
      <c r="L32" s="1" t="s">
        <v>35</v>
      </c>
      <c r="R32" s="1" t="s">
        <v>35</v>
      </c>
      <c r="X32" s="1" t="s">
        <v>35</v>
      </c>
      <c r="AD32" s="1"/>
    </row>
    <row r="33" spans="2:32" ht="15" thickBot="1"/>
    <row r="34" spans="2:32" ht="15.95" thickBot="1">
      <c r="C34" s="17" t="s">
        <v>36</v>
      </c>
      <c r="D34" s="18"/>
      <c r="E34" s="19"/>
      <c r="F34" s="52" t="s">
        <v>37</v>
      </c>
      <c r="G34" s="53"/>
      <c r="H34" s="53"/>
      <c r="I34" s="53"/>
      <c r="J34" s="35"/>
      <c r="L34" s="17" t="s">
        <v>36</v>
      </c>
      <c r="M34" s="18"/>
      <c r="N34" s="19"/>
      <c r="R34" s="17" t="s">
        <v>38</v>
      </c>
      <c r="S34" s="18"/>
      <c r="T34" s="19"/>
      <c r="X34" s="17" t="s">
        <v>38</v>
      </c>
      <c r="Y34" s="18"/>
      <c r="Z34" s="19"/>
      <c r="AD34" s="32"/>
      <c r="AE34" s="32"/>
      <c r="AF34" s="32"/>
    </row>
    <row r="35" spans="2:32" ht="15.6">
      <c r="B35" t="s">
        <v>27</v>
      </c>
      <c r="C35" s="12"/>
      <c r="E35" s="2"/>
      <c r="F35" s="52"/>
      <c r="G35" s="53"/>
      <c r="H35" s="53"/>
      <c r="I35" s="53"/>
      <c r="J35" s="35"/>
      <c r="K35" t="s">
        <v>27</v>
      </c>
      <c r="L35" s="12"/>
      <c r="N35" s="2"/>
      <c r="Q35" t="s">
        <v>27</v>
      </c>
      <c r="R35" s="12"/>
      <c r="T35" s="2"/>
      <c r="W35" t="s">
        <v>27</v>
      </c>
      <c r="X35" s="12"/>
      <c r="Z35" s="2"/>
    </row>
    <row r="36" spans="2:32">
      <c r="B36" t="s">
        <v>29</v>
      </c>
      <c r="C36" s="13" t="s">
        <v>39</v>
      </c>
      <c r="E36" s="2"/>
      <c r="K36" t="s">
        <v>29</v>
      </c>
      <c r="L36" s="13" t="s">
        <v>40</v>
      </c>
      <c r="N36" s="2"/>
      <c r="Q36" t="s">
        <v>29</v>
      </c>
      <c r="R36" s="13" t="s">
        <v>40</v>
      </c>
      <c r="T36" s="2"/>
      <c r="W36" t="s">
        <v>29</v>
      </c>
      <c r="X36" s="13" t="s">
        <v>40</v>
      </c>
      <c r="Z36" s="2"/>
      <c r="AD36" s="5"/>
    </row>
    <row r="37" spans="2:32">
      <c r="B37" t="s">
        <v>41</v>
      </c>
      <c r="C37" s="12" t="s">
        <v>42</v>
      </c>
      <c r="D37">
        <v>0.11</v>
      </c>
      <c r="E37" s="2"/>
      <c r="K37" t="s">
        <v>41</v>
      </c>
      <c r="L37" s="12" t="s">
        <v>42</v>
      </c>
      <c r="M37">
        <v>0.11</v>
      </c>
      <c r="N37" s="2"/>
      <c r="Q37" t="s">
        <v>41</v>
      </c>
      <c r="R37" s="12" t="s">
        <v>42</v>
      </c>
      <c r="S37">
        <v>7.4999999999999997E-2</v>
      </c>
      <c r="T37" s="2"/>
      <c r="W37" t="s">
        <v>41</v>
      </c>
      <c r="X37" s="12" t="s">
        <v>42</v>
      </c>
      <c r="Y37">
        <v>7.4999999999999997E-2</v>
      </c>
      <c r="Z37" s="2"/>
    </row>
    <row r="38" spans="2:32">
      <c r="C38" s="12" t="s">
        <v>43</v>
      </c>
      <c r="D38">
        <f>PI()*((D37/2)^2)</f>
        <v>9.5033177771091243E-3</v>
      </c>
      <c r="E38" s="2"/>
      <c r="L38" s="12" t="s">
        <v>43</v>
      </c>
      <c r="M38">
        <f>PI()*((M37/2)^2)</f>
        <v>9.5033177771091243E-3</v>
      </c>
      <c r="N38" s="2"/>
      <c r="R38" s="12" t="s">
        <v>43</v>
      </c>
      <c r="S38">
        <f>PI()*((S37/2)^2)</f>
        <v>4.4178646691106467E-3</v>
      </c>
      <c r="T38" s="2"/>
      <c r="X38" s="12" t="s">
        <v>43</v>
      </c>
      <c r="Y38">
        <f>PI()*((Y37/2)^2)</f>
        <v>4.4178646691106467E-3</v>
      </c>
      <c r="Z38" s="2"/>
    </row>
    <row r="39" spans="2:32">
      <c r="C39" s="12" t="s">
        <v>44</v>
      </c>
      <c r="D39">
        <f>D15*D7/1000</f>
        <v>2.6886310000000004E-2</v>
      </c>
      <c r="E39" s="2"/>
      <c r="F39" s="54" t="s">
        <v>45</v>
      </c>
      <c r="G39" s="55"/>
      <c r="H39" s="55"/>
      <c r="I39" s="55"/>
      <c r="J39" s="36"/>
      <c r="L39" s="12" t="s">
        <v>44</v>
      </c>
      <c r="M39">
        <f>M15*D7/1000</f>
        <v>2.7174730000000001E-2</v>
      </c>
      <c r="N39" s="2"/>
      <c r="R39" s="12" t="s">
        <v>44</v>
      </c>
      <c r="S39">
        <f>S15*D7/1000</f>
        <v>1.1891000000000002E-2</v>
      </c>
      <c r="T39" s="2"/>
      <c r="X39" s="12" t="s">
        <v>44</v>
      </c>
      <c r="Y39">
        <f>Y15*D7/1000</f>
        <v>9.7607400000000021E-3</v>
      </c>
      <c r="Z39" s="2"/>
    </row>
    <row r="40" spans="2:32">
      <c r="C40" s="12" t="s">
        <v>46</v>
      </c>
      <c r="D40">
        <f>D39/D38</f>
        <v>2.8291498433064839</v>
      </c>
      <c r="E40" s="2"/>
      <c r="F40" s="54"/>
      <c r="G40" s="55"/>
      <c r="H40" s="55"/>
      <c r="I40" s="55"/>
      <c r="J40" s="36"/>
      <c r="L40" s="12" t="s">
        <v>47</v>
      </c>
      <c r="M40">
        <f>M39/M38</f>
        <v>2.8594992440909892</v>
      </c>
      <c r="N40" s="2"/>
      <c r="R40" s="12" t="s">
        <v>47</v>
      </c>
      <c r="S40">
        <f>S39/S38</f>
        <v>2.6915718091459242</v>
      </c>
      <c r="T40" s="2"/>
      <c r="X40" s="12" t="s">
        <v>47</v>
      </c>
      <c r="Y40">
        <f>Y39/Y38</f>
        <v>2.2093795829116969</v>
      </c>
      <c r="Z40" s="2"/>
    </row>
    <row r="41" spans="2:32">
      <c r="C41" s="12" t="s">
        <v>48</v>
      </c>
      <c r="D41">
        <v>2</v>
      </c>
      <c r="E41" s="2"/>
      <c r="L41" s="12" t="s">
        <v>48</v>
      </c>
      <c r="M41">
        <v>2</v>
      </c>
      <c r="N41" s="2"/>
      <c r="R41" s="12" t="s">
        <v>48</v>
      </c>
      <c r="S41">
        <v>2</v>
      </c>
      <c r="T41" s="2"/>
      <c r="X41" s="12" t="s">
        <v>48</v>
      </c>
      <c r="Y41">
        <v>2</v>
      </c>
      <c r="Z41" s="2"/>
    </row>
    <row r="42" spans="2:32">
      <c r="B42" t="s">
        <v>49</v>
      </c>
      <c r="C42" s="12" t="s">
        <v>50</v>
      </c>
      <c r="D42">
        <v>0</v>
      </c>
      <c r="E42" s="2"/>
      <c r="F42" s="33" t="s">
        <v>51</v>
      </c>
      <c r="K42" t="s">
        <v>49</v>
      </c>
      <c r="L42" s="12" t="s">
        <v>52</v>
      </c>
      <c r="M42">
        <v>0</v>
      </c>
      <c r="N42" s="2"/>
      <c r="Q42" t="s">
        <v>49</v>
      </c>
      <c r="R42" s="12" t="s">
        <v>52</v>
      </c>
      <c r="S42">
        <v>0</v>
      </c>
      <c r="T42" s="2"/>
      <c r="W42" t="s">
        <v>49</v>
      </c>
      <c r="X42" s="12" t="s">
        <v>52</v>
      </c>
      <c r="Y42">
        <v>0</v>
      </c>
      <c r="Z42" s="2"/>
    </row>
    <row r="43" spans="2:32">
      <c r="C43" s="12"/>
      <c r="E43" s="2"/>
      <c r="L43" s="12"/>
      <c r="N43" s="2"/>
      <c r="R43" s="12"/>
      <c r="T43" s="2"/>
      <c r="X43" s="12"/>
      <c r="Z43" s="2"/>
    </row>
    <row r="44" spans="2:32">
      <c r="C44" s="13" t="s">
        <v>53</v>
      </c>
      <c r="E44" s="2"/>
      <c r="L44" s="13" t="s">
        <v>53</v>
      </c>
      <c r="N44" s="2"/>
      <c r="R44" s="13" t="s">
        <v>54</v>
      </c>
      <c r="T44" s="2"/>
      <c r="X44" s="13" t="s">
        <v>54</v>
      </c>
      <c r="Z44" s="2"/>
      <c r="AD44" s="5"/>
    </row>
    <row r="45" spans="2:32" ht="14.45" customHeight="1">
      <c r="C45" s="12" t="s">
        <v>55</v>
      </c>
      <c r="D45">
        <f>D37</f>
        <v>0.11</v>
      </c>
      <c r="E45" s="2"/>
      <c r="F45" s="54" t="s">
        <v>56</v>
      </c>
      <c r="G45" s="55"/>
      <c r="H45" s="55"/>
      <c r="I45" s="55"/>
      <c r="J45" s="36"/>
      <c r="L45" s="12" t="s">
        <v>55</v>
      </c>
      <c r="M45">
        <f>M37</f>
        <v>0.11</v>
      </c>
      <c r="N45" s="2"/>
      <c r="R45" s="12" t="s">
        <v>55</v>
      </c>
      <c r="S45">
        <f>S37</f>
        <v>7.4999999999999997E-2</v>
      </c>
      <c r="T45" s="2"/>
      <c r="X45" s="12" t="s">
        <v>55</v>
      </c>
      <c r="Y45">
        <f>Y37</f>
        <v>7.4999999999999997E-2</v>
      </c>
      <c r="Z45" s="2"/>
    </row>
    <row r="46" spans="2:32">
      <c r="C46" s="12" t="s">
        <v>43</v>
      </c>
      <c r="D46">
        <f>PI()*((D45/2)^2)</f>
        <v>9.5033177771091243E-3</v>
      </c>
      <c r="E46" s="2"/>
      <c r="F46" s="54"/>
      <c r="G46" s="55"/>
      <c r="H46" s="55"/>
      <c r="I46" s="55"/>
      <c r="J46" s="36"/>
      <c r="L46" s="12" t="s">
        <v>43</v>
      </c>
      <c r="M46">
        <f>PI()*((M45/2)^2)</f>
        <v>9.5033177771091243E-3</v>
      </c>
      <c r="N46" s="2"/>
      <c r="R46" s="12" t="s">
        <v>43</v>
      </c>
      <c r="S46">
        <f>PI()*((S45/2)^2)</f>
        <v>4.4178646691106467E-3</v>
      </c>
      <c r="T46" s="2"/>
      <c r="X46" s="12" t="s">
        <v>43</v>
      </c>
      <c r="Y46">
        <f>PI()*((Y45/2)^2)</f>
        <v>4.4178646691106467E-3</v>
      </c>
      <c r="Z46" s="2"/>
    </row>
    <row r="47" spans="2:32">
      <c r="C47" s="12" t="s">
        <v>44</v>
      </c>
      <c r="D47">
        <f>D39</f>
        <v>2.6886310000000004E-2</v>
      </c>
      <c r="E47" s="2"/>
      <c r="F47" s="54"/>
      <c r="G47" s="55"/>
      <c r="H47" s="55"/>
      <c r="I47" s="55"/>
      <c r="J47" s="36"/>
      <c r="L47" s="12" t="s">
        <v>44</v>
      </c>
      <c r="M47">
        <f>M39</f>
        <v>2.7174730000000001E-2</v>
      </c>
      <c r="N47" s="2"/>
      <c r="R47" s="12" t="s">
        <v>44</v>
      </c>
      <c r="S47">
        <f>S39</f>
        <v>1.1891000000000002E-2</v>
      </c>
      <c r="T47" s="2"/>
      <c r="X47" s="12" t="s">
        <v>44</v>
      </c>
      <c r="Y47">
        <f>Y39</f>
        <v>9.7607400000000021E-3</v>
      </c>
      <c r="Z47" s="2"/>
    </row>
    <row r="48" spans="2:32" ht="16.5" customHeight="1">
      <c r="C48" s="14" t="s">
        <v>57</v>
      </c>
      <c r="D48">
        <f>D47/D46</f>
        <v>2.8291498433064839</v>
      </c>
      <c r="E48" s="2"/>
      <c r="L48" s="14" t="s">
        <v>58</v>
      </c>
      <c r="M48">
        <f>M47/M46</f>
        <v>2.8594992440909892</v>
      </c>
      <c r="N48" s="2"/>
      <c r="R48" s="14" t="s">
        <v>59</v>
      </c>
      <c r="S48">
        <f>S47/S46</f>
        <v>2.6915718091459242</v>
      </c>
      <c r="T48" s="2"/>
      <c r="X48" s="14" t="s">
        <v>60</v>
      </c>
      <c r="Y48">
        <f>Y47/Y46</f>
        <v>2.2093795829116969</v>
      </c>
      <c r="Z48" s="2"/>
      <c r="AD48" s="1"/>
    </row>
    <row r="49" spans="2:30">
      <c r="C49" s="14" t="s">
        <v>61</v>
      </c>
      <c r="D49">
        <v>11.5</v>
      </c>
      <c r="E49" s="2"/>
      <c r="L49" s="14" t="s">
        <v>61</v>
      </c>
      <c r="M49">
        <v>8</v>
      </c>
      <c r="N49" s="2"/>
      <c r="R49" s="14" t="s">
        <v>61</v>
      </c>
      <c r="S49">
        <v>10</v>
      </c>
      <c r="T49" s="2"/>
      <c r="X49" s="14" t="s">
        <v>61</v>
      </c>
      <c r="Y49">
        <v>10</v>
      </c>
      <c r="Z49" s="2"/>
      <c r="AD49" s="1"/>
    </row>
    <row r="50" spans="2:30">
      <c r="C50" s="12"/>
      <c r="E50" s="2"/>
      <c r="L50" s="12"/>
      <c r="N50" s="2"/>
      <c r="R50" s="12"/>
      <c r="T50" s="2"/>
      <c r="X50" s="12"/>
      <c r="Z50" s="2"/>
    </row>
    <row r="51" spans="2:30">
      <c r="B51" t="s">
        <v>62</v>
      </c>
      <c r="C51" s="12" t="s">
        <v>63</v>
      </c>
      <c r="D51">
        <f>D49-D41</f>
        <v>9.5</v>
      </c>
      <c r="E51" s="2"/>
      <c r="K51" t="s">
        <v>62</v>
      </c>
      <c r="L51" s="12" t="s">
        <v>63</v>
      </c>
      <c r="M51">
        <f>M49-M41</f>
        <v>6</v>
      </c>
      <c r="N51" s="2"/>
      <c r="Q51" t="s">
        <v>62</v>
      </c>
      <c r="R51" s="12" t="s">
        <v>63</v>
      </c>
      <c r="S51">
        <f>S49-S41</f>
        <v>8</v>
      </c>
      <c r="T51" s="2"/>
      <c r="W51" t="s">
        <v>62</v>
      </c>
      <c r="X51" s="12" t="s">
        <v>63</v>
      </c>
      <c r="Y51">
        <f>Y49-Y41</f>
        <v>8</v>
      </c>
      <c r="Z51" s="2"/>
    </row>
    <row r="52" spans="2:30">
      <c r="C52" s="12"/>
      <c r="E52" s="2"/>
      <c r="L52" s="12"/>
      <c r="N52" s="2"/>
      <c r="R52" s="12"/>
      <c r="T52" s="2"/>
      <c r="X52" s="12"/>
      <c r="Z52" s="2"/>
    </row>
    <row r="53" spans="2:30">
      <c r="C53" s="12" t="s">
        <v>64</v>
      </c>
      <c r="D53">
        <v>1.4999999999999999E-4</v>
      </c>
      <c r="E53" s="2"/>
      <c r="F53" s="54" t="s">
        <v>65</v>
      </c>
      <c r="G53" s="55"/>
      <c r="H53" s="55"/>
      <c r="L53" s="12" t="s">
        <v>64</v>
      </c>
      <c r="M53">
        <v>1.4999999999999999E-4</v>
      </c>
      <c r="N53" s="2"/>
      <c r="R53" s="12" t="s">
        <v>64</v>
      </c>
      <c r="S53">
        <v>1.4999999999999999E-4</v>
      </c>
      <c r="T53" s="2"/>
      <c r="X53" s="12" t="s">
        <v>64</v>
      </c>
      <c r="Y53">
        <v>1.4999999999999999E-4</v>
      </c>
      <c r="Z53" s="2"/>
    </row>
    <row r="54" spans="2:30">
      <c r="C54" s="12" t="s">
        <v>66</v>
      </c>
      <c r="D54">
        <f>D40*D37/(1*(10^(-6)))</f>
        <v>311206.48276371323</v>
      </c>
      <c r="E54" s="2"/>
      <c r="F54" s="54"/>
      <c r="G54" s="55"/>
      <c r="H54" s="55"/>
      <c r="L54" s="12" t="s">
        <v>66</v>
      </c>
      <c r="M54">
        <f>M40*M37/(1*(10^(-6)))</f>
        <v>314544.91685000883</v>
      </c>
      <c r="N54" s="2"/>
      <c r="R54" s="12" t="s">
        <v>66</v>
      </c>
      <c r="S54">
        <f>S40*S37/(1*(10^(-6)))</f>
        <v>201867.88568594432</v>
      </c>
      <c r="T54" s="2"/>
      <c r="X54" s="12" t="s">
        <v>66</v>
      </c>
      <c r="Y54">
        <f>Y40*Y37/(1*(10^(-6)))</f>
        <v>165703.46871837726</v>
      </c>
      <c r="Z54" s="2"/>
    </row>
    <row r="55" spans="2:30">
      <c r="C55" s="12" t="s">
        <v>67</v>
      </c>
      <c r="D55">
        <f>1/((-2*LOG10(((D53/D37)/3.7)) + (((5.1286/(D54^0.89)))))^2)</f>
        <v>2.120590095097483E-2</v>
      </c>
      <c r="E55" s="2"/>
      <c r="L55" s="12" t="s">
        <v>67</v>
      </c>
      <c r="M55">
        <f>1/((-2*LOG10(((M53/M37)/3.7)) + (((5.1286/(M54^0.89)))))^2)</f>
        <v>2.120590481825179E-2</v>
      </c>
      <c r="N55" s="2"/>
      <c r="R55" s="12" t="s">
        <v>67</v>
      </c>
      <c r="S55">
        <f>1/((-2*LOG10(((S53/S37)/3.7)) + (((5.1286/(S54^0.89)))))^2)</f>
        <v>2.341979768518682E-2</v>
      </c>
      <c r="T55" s="2"/>
      <c r="X55" s="12" t="s">
        <v>67</v>
      </c>
      <c r="Y55">
        <f>1/((-2*LOG10(((Y53/Y37)/3.7)) + (((5.1286/(Y54^0.89)))))^2)</f>
        <v>2.3419663603423433E-2</v>
      </c>
      <c r="Z55" s="2"/>
    </row>
    <row r="56" spans="2:30">
      <c r="C56" s="12" t="s">
        <v>68</v>
      </c>
      <c r="D56">
        <v>9.5</v>
      </c>
      <c r="E56" s="2"/>
      <c r="L56" s="12" t="s">
        <v>68</v>
      </c>
      <c r="M56">
        <v>9.5</v>
      </c>
      <c r="N56" s="2"/>
      <c r="R56" s="12" t="s">
        <v>68</v>
      </c>
      <c r="S56">
        <v>9.5</v>
      </c>
      <c r="T56" s="2"/>
      <c r="X56" s="12" t="s">
        <v>68</v>
      </c>
      <c r="Y56">
        <v>9.5</v>
      </c>
      <c r="Z56" s="2"/>
    </row>
    <row r="57" spans="2:30">
      <c r="C57" s="12" t="s">
        <v>69</v>
      </c>
      <c r="D57">
        <f>D55*(D56/D37)*((D40^2)/(2*9.81))</f>
        <v>0.74713751878265755</v>
      </c>
      <c r="E57" s="2"/>
      <c r="L57" s="12" t="s">
        <v>69</v>
      </c>
      <c r="M57">
        <f>M55*(M56/M37)*((M40^2)/(2*9.81))</f>
        <v>0.76325331109942185</v>
      </c>
      <c r="N57" s="2"/>
      <c r="R57" s="12" t="s">
        <v>69</v>
      </c>
      <c r="S57">
        <f>S55*(S56/S37)*((S40^2)/(2*9.81))</f>
        <v>1.0953638900986744</v>
      </c>
      <c r="T57" s="2"/>
      <c r="X57" s="12" t="s">
        <v>69</v>
      </c>
      <c r="Y57">
        <f>Y55*(Y56/Y37)*((Y40^2)/(2*9.81))</f>
        <v>0.738048095950808</v>
      </c>
      <c r="Z57" s="2"/>
    </row>
    <row r="58" spans="2:30">
      <c r="C58" s="12"/>
      <c r="E58" s="2"/>
      <c r="L58" s="12"/>
      <c r="N58" s="2"/>
      <c r="R58" s="12"/>
      <c r="T58" s="2"/>
      <c r="X58" s="12"/>
      <c r="Z58" s="2"/>
    </row>
    <row r="59" spans="2:30">
      <c r="C59" s="12"/>
      <c r="E59" s="2"/>
      <c r="L59" s="12"/>
      <c r="N59" s="2"/>
      <c r="R59" s="12"/>
      <c r="T59" s="2"/>
      <c r="X59" s="12"/>
      <c r="Z59" s="2"/>
    </row>
    <row r="60" spans="2:30">
      <c r="C60" s="15" t="s">
        <v>70</v>
      </c>
      <c r="D60" t="s">
        <v>71</v>
      </c>
      <c r="E60" s="2" t="s">
        <v>72</v>
      </c>
      <c r="L60" s="15" t="s">
        <v>70</v>
      </c>
      <c r="M60" t="s">
        <v>71</v>
      </c>
      <c r="N60" s="2" t="s">
        <v>72</v>
      </c>
      <c r="R60" s="15" t="s">
        <v>70</v>
      </c>
      <c r="S60" t="s">
        <v>71</v>
      </c>
      <c r="T60" s="2" t="s">
        <v>72</v>
      </c>
      <c r="X60" s="15" t="s">
        <v>70</v>
      </c>
      <c r="Y60" t="s">
        <v>71</v>
      </c>
      <c r="Z60" s="2" t="s">
        <v>72</v>
      </c>
      <c r="AD60" s="31"/>
    </row>
    <row r="61" spans="2:30">
      <c r="C61" s="12" t="s">
        <v>73</v>
      </c>
      <c r="D61">
        <v>0.45</v>
      </c>
      <c r="E61" s="2">
        <v>0</v>
      </c>
      <c r="L61" s="12" t="s">
        <v>73</v>
      </c>
      <c r="M61">
        <v>0.45</v>
      </c>
      <c r="N61" s="2">
        <v>0</v>
      </c>
      <c r="R61" s="12" t="s">
        <v>73</v>
      </c>
      <c r="S61">
        <v>0.45</v>
      </c>
      <c r="T61" s="2">
        <v>0</v>
      </c>
      <c r="X61" s="12" t="s">
        <v>73</v>
      </c>
      <c r="Y61">
        <v>0.45</v>
      </c>
      <c r="Z61" s="2">
        <v>0</v>
      </c>
    </row>
    <row r="62" spans="2:30">
      <c r="C62" s="12" t="s">
        <v>74</v>
      </c>
      <c r="D62">
        <v>1.5</v>
      </c>
      <c r="E62" s="2">
        <v>1</v>
      </c>
      <c r="L62" s="12" t="s">
        <v>74</v>
      </c>
      <c r="M62">
        <v>1.5</v>
      </c>
      <c r="N62" s="2">
        <v>1</v>
      </c>
      <c r="R62" s="12" t="s">
        <v>74</v>
      </c>
      <c r="S62">
        <v>1.5</v>
      </c>
      <c r="T62" s="2">
        <v>0</v>
      </c>
      <c r="X62" s="12" t="s">
        <v>74</v>
      </c>
      <c r="Y62">
        <v>1.5</v>
      </c>
      <c r="Z62" s="2">
        <v>0</v>
      </c>
    </row>
    <row r="63" spans="2:30">
      <c r="C63" s="12" t="s">
        <v>75</v>
      </c>
      <c r="D63">
        <v>1.5</v>
      </c>
      <c r="E63" s="2">
        <v>1</v>
      </c>
      <c r="L63" s="12" t="s">
        <v>75</v>
      </c>
      <c r="M63">
        <v>1.5</v>
      </c>
      <c r="N63" s="2">
        <v>1</v>
      </c>
      <c r="R63" s="12" t="s">
        <v>75</v>
      </c>
      <c r="S63">
        <v>1.5</v>
      </c>
      <c r="T63" s="2">
        <v>1</v>
      </c>
      <c r="X63" s="12" t="s">
        <v>75</v>
      </c>
      <c r="Y63">
        <v>1.5</v>
      </c>
      <c r="Z63" s="2">
        <v>1</v>
      </c>
    </row>
    <row r="64" spans="2:30">
      <c r="C64" s="12"/>
      <c r="E64" s="2"/>
      <c r="L64" s="12"/>
      <c r="N64" s="2"/>
      <c r="R64" s="12"/>
      <c r="T64" s="2"/>
      <c r="X64" s="12"/>
      <c r="Z64" s="2"/>
    </row>
    <row r="65" spans="2:32">
      <c r="C65" s="12" t="s">
        <v>76</v>
      </c>
      <c r="D65">
        <f>(D61*E61)+(D62*E62)+(D63*E63)</f>
        <v>3</v>
      </c>
      <c r="E65" s="2"/>
      <c r="L65" s="12" t="s">
        <v>76</v>
      </c>
      <c r="M65">
        <f>(M61*N61)+(M62*N62)+(M63*N63)</f>
        <v>3</v>
      </c>
      <c r="N65" s="2"/>
      <c r="R65" s="12" t="s">
        <v>76</v>
      </c>
      <c r="S65">
        <f>(S61*T61)+(S62*T62)+(S63*T63)</f>
        <v>1.5</v>
      </c>
      <c r="T65" s="2"/>
      <c r="X65" s="12" t="s">
        <v>76</v>
      </c>
      <c r="Y65">
        <f>(Y61*Z61)+(Y62*Z62)+(Y63*Z63)</f>
        <v>1.5</v>
      </c>
      <c r="Z65" s="2"/>
    </row>
    <row r="66" spans="2:32">
      <c r="C66" s="12" t="s">
        <v>77</v>
      </c>
      <c r="D66">
        <f>D65*((D40^2)/(2*9.81))</f>
        <v>1.2238667944772326</v>
      </c>
      <c r="E66" s="2"/>
      <c r="L66" s="12" t="s">
        <v>77</v>
      </c>
      <c r="M66">
        <f>M65*((M40^2)/(2*9.81))</f>
        <v>1.2502654322564126</v>
      </c>
      <c r="N66" s="2"/>
      <c r="R66" s="12" t="s">
        <v>77</v>
      </c>
      <c r="S66">
        <f>S65*((S40^2)/(2*9.81))</f>
        <v>0.55386535197164088</v>
      </c>
      <c r="T66" s="2"/>
      <c r="X66" s="12" t="s">
        <v>77</v>
      </c>
      <c r="Y66">
        <f>Y65*((Y40^2)/(2*9.81))</f>
        <v>0.37319251845466844</v>
      </c>
      <c r="Z66" s="2"/>
    </row>
    <row r="67" spans="2:32">
      <c r="C67" s="12"/>
      <c r="E67" s="2"/>
      <c r="L67" s="12"/>
      <c r="N67" s="2"/>
      <c r="R67" s="12"/>
      <c r="T67" s="2"/>
      <c r="X67" s="12"/>
      <c r="Z67" s="2"/>
    </row>
    <row r="68" spans="2:32">
      <c r="C68" s="12" t="s">
        <v>78</v>
      </c>
      <c r="D68">
        <f>SUM(D57+D66)</f>
        <v>1.9710043132598902</v>
      </c>
      <c r="E68" s="2"/>
      <c r="L68" s="12" t="s">
        <v>78</v>
      </c>
      <c r="M68">
        <f>SUM(M57+M66)</f>
        <v>2.0135187433558346</v>
      </c>
      <c r="N68" s="2"/>
      <c r="R68" s="12" t="s">
        <v>78</v>
      </c>
      <c r="S68">
        <f>SUM(S57+S66)</f>
        <v>1.6492292420703154</v>
      </c>
      <c r="T68" s="2"/>
      <c r="X68" s="12" t="s">
        <v>78</v>
      </c>
      <c r="Y68">
        <f>SUM(Y57+Y66)</f>
        <v>1.1112406144054765</v>
      </c>
      <c r="Z68" s="2"/>
    </row>
    <row r="69" spans="2:32">
      <c r="C69" s="12"/>
      <c r="E69" s="2"/>
      <c r="L69" s="12"/>
      <c r="N69" s="2"/>
      <c r="R69" s="12"/>
      <c r="T69" s="2"/>
      <c r="X69" s="12"/>
      <c r="Z69" s="2"/>
    </row>
    <row r="70" spans="2:32" ht="15" thickBot="1">
      <c r="B70" t="s">
        <v>79</v>
      </c>
      <c r="C70" s="16" t="s">
        <v>80</v>
      </c>
      <c r="D70" s="3">
        <f>D68-D51+(D42+((D40^2)/(2*9.81)))-((D48^2)/(2*9.81))</f>
        <v>-7.5289956867401102</v>
      </c>
      <c r="E70" s="4"/>
      <c r="F70" s="55" t="s">
        <v>81</v>
      </c>
      <c r="G70" s="55"/>
      <c r="H70" s="55"/>
      <c r="I70" s="55"/>
      <c r="J70" s="30"/>
      <c r="K70" t="s">
        <v>79</v>
      </c>
      <c r="L70" s="16" t="s">
        <v>80</v>
      </c>
      <c r="M70" s="3">
        <f>M68-M51+(M42+((M40^2)/(2*9.81)))-((M48^2)/(2*9.81))</f>
        <v>-3.9864812566441654</v>
      </c>
      <c r="N70" s="4"/>
      <c r="O70" t="s">
        <v>82</v>
      </c>
      <c r="Q70" t="s">
        <v>79</v>
      </c>
      <c r="R70" s="16" t="s">
        <v>80</v>
      </c>
      <c r="S70" s="3">
        <f>S68-S51+(S42+((S40^2)/(2*9.81)))-((S48^2)/(2*9.81))</f>
        <v>-6.3507707579296842</v>
      </c>
      <c r="T70" s="4"/>
      <c r="U70" t="s">
        <v>82</v>
      </c>
      <c r="W70" t="s">
        <v>79</v>
      </c>
      <c r="X70" s="16" t="s">
        <v>80</v>
      </c>
      <c r="Y70" s="3">
        <f>Y68-Y51+(Y42+((Y40^2)/(2*9.81)))-((Y48^2)/(2*9.81))</f>
        <v>-6.8887593855945237</v>
      </c>
      <c r="Z70" s="4"/>
      <c r="AA70" t="s">
        <v>82</v>
      </c>
    </row>
    <row r="71" spans="2:32">
      <c r="F71" s="55"/>
      <c r="G71" s="55"/>
      <c r="H71" s="55"/>
      <c r="I71" s="55"/>
      <c r="J71" s="30"/>
    </row>
    <row r="72" spans="2:32" ht="15" thickBot="1"/>
    <row r="73" spans="2:32" ht="15.95" thickBot="1">
      <c r="C73" s="56" t="s">
        <v>83</v>
      </c>
      <c r="D73" s="57"/>
      <c r="E73" s="58"/>
      <c r="F73" s="34"/>
      <c r="G73" s="34"/>
      <c r="L73" s="56" t="s">
        <v>83</v>
      </c>
      <c r="M73" s="57"/>
      <c r="N73" s="58"/>
      <c r="R73" s="56" t="s">
        <v>84</v>
      </c>
      <c r="S73" s="57"/>
      <c r="T73" s="58"/>
      <c r="X73" s="56" t="s">
        <v>84</v>
      </c>
      <c r="Y73" s="57"/>
      <c r="Z73" s="58"/>
      <c r="AD73" s="61"/>
      <c r="AE73" s="61"/>
      <c r="AF73" s="61"/>
    </row>
    <row r="74" spans="2:32">
      <c r="C74" s="12"/>
      <c r="E74" s="2"/>
      <c r="L74" s="12"/>
      <c r="N74" s="2"/>
      <c r="R74" s="12"/>
      <c r="T74" s="2"/>
      <c r="X74" s="12"/>
      <c r="Z74" s="2"/>
    </row>
    <row r="75" spans="2:32" ht="14.45" customHeight="1">
      <c r="B75" t="s">
        <v>85</v>
      </c>
      <c r="C75" s="13" t="s">
        <v>86</v>
      </c>
      <c r="E75" s="2"/>
      <c r="F75" s="54" t="s">
        <v>87</v>
      </c>
      <c r="G75" s="55"/>
      <c r="H75" s="55"/>
      <c r="I75" s="55"/>
      <c r="K75" t="s">
        <v>85</v>
      </c>
      <c r="L75" s="13" t="s">
        <v>88</v>
      </c>
      <c r="N75" s="2"/>
      <c r="Q75" t="s">
        <v>89</v>
      </c>
      <c r="R75" s="13" t="s">
        <v>90</v>
      </c>
      <c r="T75" s="2"/>
      <c r="W75" t="s">
        <v>89</v>
      </c>
      <c r="X75" s="13" t="s">
        <v>90</v>
      </c>
      <c r="Z75" s="2"/>
      <c r="AD75" s="5"/>
    </row>
    <row r="76" spans="2:32">
      <c r="B76" t="s">
        <v>91</v>
      </c>
      <c r="C76" s="12" t="s">
        <v>55</v>
      </c>
      <c r="D76">
        <v>0.11</v>
      </c>
      <c r="E76" s="2"/>
      <c r="F76" s="54"/>
      <c r="G76" s="55"/>
      <c r="H76" s="55"/>
      <c r="I76" s="55"/>
      <c r="K76" t="s">
        <v>91</v>
      </c>
      <c r="L76" s="12" t="s">
        <v>55</v>
      </c>
      <c r="M76">
        <v>0.11</v>
      </c>
      <c r="N76" s="2"/>
      <c r="Q76" t="s">
        <v>92</v>
      </c>
      <c r="R76" s="12" t="s">
        <v>55</v>
      </c>
      <c r="S76">
        <v>7.4999999999999997E-2</v>
      </c>
      <c r="T76" s="2"/>
      <c r="W76" t="s">
        <v>92</v>
      </c>
      <c r="X76" s="12" t="s">
        <v>55</v>
      </c>
      <c r="Y76">
        <v>7.4999999999999997E-2</v>
      </c>
      <c r="Z76" s="2"/>
    </row>
    <row r="77" spans="2:32">
      <c r="C77" s="12" t="s">
        <v>43</v>
      </c>
      <c r="D77">
        <f>PI()*((D76/2)^2)</f>
        <v>9.5033177771091243E-3</v>
      </c>
      <c r="E77" s="2"/>
      <c r="F77" s="37"/>
      <c r="G77" s="38"/>
      <c r="H77" s="38"/>
      <c r="I77" s="38"/>
      <c r="L77" s="12" t="s">
        <v>43</v>
      </c>
      <c r="M77">
        <f>PI()*((M76/2)^2)</f>
        <v>9.5033177771091243E-3</v>
      </c>
      <c r="N77" s="2"/>
      <c r="R77" s="12" t="s">
        <v>43</v>
      </c>
      <c r="S77">
        <f>PI()*((S76/2)^2)</f>
        <v>4.4178646691106467E-3</v>
      </c>
      <c r="T77" s="2"/>
      <c r="X77" s="12" t="s">
        <v>43</v>
      </c>
      <c r="Y77">
        <f>PI()*((Y76/2)^2)</f>
        <v>4.4178646691106467E-3</v>
      </c>
      <c r="Z77" s="2"/>
    </row>
    <row r="78" spans="2:32">
      <c r="C78" s="12" t="s">
        <v>44</v>
      </c>
      <c r="D78">
        <f>D15*D7/1000</f>
        <v>2.6886310000000004E-2</v>
      </c>
      <c r="E78" s="2"/>
      <c r="L78" s="12" t="s">
        <v>44</v>
      </c>
      <c r="M78">
        <f>M47</f>
        <v>2.7174730000000001E-2</v>
      </c>
      <c r="N78" s="2"/>
      <c r="R78" s="12" t="s">
        <v>44</v>
      </c>
      <c r="S78">
        <f>S30</f>
        <v>5.9455000000000011E-3</v>
      </c>
      <c r="T78" s="2"/>
      <c r="X78" s="12" t="s">
        <v>44</v>
      </c>
      <c r="Y78">
        <f>Y30</f>
        <v>4.8803700000000011E-3</v>
      </c>
      <c r="Z78" s="2"/>
    </row>
    <row r="79" spans="2:32" ht="14.1" customHeight="1">
      <c r="C79" s="14" t="s">
        <v>93</v>
      </c>
      <c r="D79">
        <f>D78/D77</f>
        <v>2.8291498433064839</v>
      </c>
      <c r="E79" s="2"/>
      <c r="L79" s="14" t="s">
        <v>93</v>
      </c>
      <c r="M79">
        <f>M78/M77</f>
        <v>2.8594992440909892</v>
      </c>
      <c r="N79" s="2"/>
      <c r="R79" s="14" t="s">
        <v>94</v>
      </c>
      <c r="S79">
        <f>S78/S77</f>
        <v>1.3457859045729621</v>
      </c>
      <c r="T79" s="2" t="s">
        <v>95</v>
      </c>
      <c r="X79" s="14" t="s">
        <v>94</v>
      </c>
      <c r="Y79">
        <f>Y78/Y77</f>
        <v>1.1046897914558484</v>
      </c>
      <c r="Z79" s="2" t="s">
        <v>95</v>
      </c>
      <c r="AD79" s="1"/>
    </row>
    <row r="80" spans="2:32">
      <c r="C80" s="14" t="s">
        <v>61</v>
      </c>
      <c r="D80">
        <v>11.75</v>
      </c>
      <c r="E80" s="2"/>
      <c r="L80" s="14" t="s">
        <v>61</v>
      </c>
      <c r="M80">
        <v>7.75</v>
      </c>
      <c r="N80" s="2"/>
      <c r="R80" s="14" t="s">
        <v>61</v>
      </c>
      <c r="S80">
        <v>14</v>
      </c>
      <c r="T80" s="2"/>
      <c r="X80" s="14" t="s">
        <v>61</v>
      </c>
      <c r="Y80">
        <v>14</v>
      </c>
      <c r="Z80" s="2"/>
      <c r="AD80" s="1"/>
    </row>
    <row r="81" spans="2:32">
      <c r="B81" t="s">
        <v>96</v>
      </c>
      <c r="C81" s="14" t="s">
        <v>97</v>
      </c>
      <c r="D81">
        <v>0</v>
      </c>
      <c r="E81" s="2"/>
      <c r="F81" s="54" t="s">
        <v>98</v>
      </c>
      <c r="G81" s="55"/>
      <c r="H81" s="55"/>
      <c r="I81" s="55"/>
      <c r="K81" t="s">
        <v>96</v>
      </c>
      <c r="L81" s="14" t="s">
        <v>97</v>
      </c>
      <c r="M81">
        <v>0</v>
      </c>
      <c r="N81" s="2"/>
      <c r="Q81" t="s">
        <v>99</v>
      </c>
      <c r="R81" s="14" t="s">
        <v>97</v>
      </c>
      <c r="S81">
        <f>S70</f>
        <v>-6.3507707579296842</v>
      </c>
      <c r="T81" s="2"/>
      <c r="W81" t="s">
        <v>99</v>
      </c>
      <c r="X81" s="14" t="s">
        <v>97</v>
      </c>
      <c r="Y81">
        <f>Y70</f>
        <v>-6.8887593855945237</v>
      </c>
      <c r="Z81" s="2"/>
      <c r="AD81" s="1"/>
    </row>
    <row r="82" spans="2:32">
      <c r="C82" s="12"/>
      <c r="E82" s="2"/>
      <c r="F82" s="54"/>
      <c r="G82" s="55"/>
      <c r="H82" s="55"/>
      <c r="I82" s="55"/>
      <c r="L82" s="12"/>
      <c r="N82" s="2"/>
      <c r="R82" s="12"/>
      <c r="T82" s="2"/>
      <c r="X82" s="12"/>
      <c r="Z82" s="2"/>
    </row>
    <row r="83" spans="2:32">
      <c r="C83" s="13" t="s">
        <v>100</v>
      </c>
      <c r="E83" s="2"/>
      <c r="F83" s="54"/>
      <c r="G83" s="55"/>
      <c r="H83" s="55"/>
      <c r="I83" s="55"/>
      <c r="L83" s="13" t="s">
        <v>100</v>
      </c>
      <c r="N83" s="2"/>
      <c r="R83" s="13" t="s">
        <v>101</v>
      </c>
      <c r="T83" s="2"/>
      <c r="X83" s="13" t="s">
        <v>101</v>
      </c>
      <c r="Z83" s="2"/>
      <c r="AD83" s="5"/>
    </row>
    <row r="84" spans="2:32">
      <c r="C84" s="12" t="s">
        <v>55</v>
      </c>
      <c r="D84">
        <v>0.11</v>
      </c>
      <c r="E84" s="2"/>
      <c r="F84" s="54"/>
      <c r="G84" s="55"/>
      <c r="H84" s="55"/>
      <c r="I84" s="55"/>
      <c r="L84" s="12" t="s">
        <v>55</v>
      </c>
      <c r="M84">
        <v>0.11</v>
      </c>
      <c r="N84" s="2"/>
      <c r="R84" s="12" t="s">
        <v>55</v>
      </c>
      <c r="S84">
        <v>7.4999999999999997E-2</v>
      </c>
      <c r="T84" s="2"/>
      <c r="X84" s="12" t="s">
        <v>55</v>
      </c>
      <c r="Y84">
        <v>7.4999999999999997E-2</v>
      </c>
      <c r="Z84" s="2"/>
    </row>
    <row r="85" spans="2:32">
      <c r="C85" s="12" t="s">
        <v>43</v>
      </c>
      <c r="D85">
        <f>PI()*((D84/2)^2)</f>
        <v>9.5033177771091243E-3</v>
      </c>
      <c r="E85" s="2"/>
      <c r="F85" s="54"/>
      <c r="G85" s="55"/>
      <c r="H85" s="55"/>
      <c r="I85" s="55"/>
      <c r="L85" s="12" t="s">
        <v>43</v>
      </c>
      <c r="M85">
        <f>PI()*((M84/2)^2)</f>
        <v>9.5033177771091243E-3</v>
      </c>
      <c r="N85" s="2"/>
      <c r="R85" s="12" t="s">
        <v>43</v>
      </c>
      <c r="S85">
        <f>PI()*((S84/2)^2)</f>
        <v>4.4178646691106467E-3</v>
      </c>
      <c r="T85" s="2"/>
      <c r="X85" s="12" t="s">
        <v>43</v>
      </c>
      <c r="Y85">
        <f>PI()*((Y84/2)^2)</f>
        <v>4.4178646691106467E-3</v>
      </c>
      <c r="Z85" s="2"/>
    </row>
    <row r="86" spans="2:32">
      <c r="C86" s="12" t="s">
        <v>44</v>
      </c>
      <c r="D86">
        <f>D7*D15/1000</f>
        <v>2.6886310000000004E-2</v>
      </c>
      <c r="E86" s="2"/>
      <c r="L86" s="12" t="s">
        <v>44</v>
      </c>
      <c r="M86">
        <f>D7*M15/1000</f>
        <v>2.7174730000000001E-2</v>
      </c>
      <c r="N86" s="2"/>
      <c r="R86" s="12" t="s">
        <v>44</v>
      </c>
      <c r="S86">
        <f>S30</f>
        <v>5.9455000000000011E-3</v>
      </c>
      <c r="T86" s="2"/>
      <c r="X86" s="12" t="s">
        <v>44</v>
      </c>
      <c r="Y86">
        <f>Y30</f>
        <v>4.8803700000000011E-3</v>
      </c>
      <c r="Z86" s="2"/>
    </row>
    <row r="87" spans="2:32" ht="15.6" customHeight="1">
      <c r="C87" s="14" t="s">
        <v>58</v>
      </c>
      <c r="D87">
        <f>D86/D85</f>
        <v>2.8291498433064839</v>
      </c>
      <c r="E87" s="2"/>
      <c r="L87" s="14" t="s">
        <v>59</v>
      </c>
      <c r="M87">
        <f>M86/M85</f>
        <v>2.8594992440909892</v>
      </c>
      <c r="N87" s="2"/>
      <c r="R87" s="14" t="s">
        <v>93</v>
      </c>
      <c r="S87">
        <v>0</v>
      </c>
      <c r="T87" s="20"/>
      <c r="X87" s="14" t="s">
        <v>93</v>
      </c>
      <c r="Y87">
        <v>0</v>
      </c>
      <c r="Z87" s="20"/>
      <c r="AD87" s="1"/>
      <c r="AF87" s="1"/>
    </row>
    <row r="88" spans="2:32">
      <c r="C88" s="14" t="s">
        <v>61</v>
      </c>
      <c r="D88">
        <v>18</v>
      </c>
      <c r="E88" s="2"/>
      <c r="L88" s="14" t="s">
        <v>61</v>
      </c>
      <c r="M88">
        <v>18</v>
      </c>
      <c r="N88" s="2"/>
      <c r="R88" s="14" t="s">
        <v>61</v>
      </c>
      <c r="S88">
        <v>16</v>
      </c>
      <c r="T88" s="2"/>
      <c r="X88" s="14" t="s">
        <v>61</v>
      </c>
      <c r="Y88">
        <v>16</v>
      </c>
      <c r="Z88" s="2"/>
      <c r="AD88" s="1"/>
    </row>
    <row r="89" spans="2:32">
      <c r="C89" s="12"/>
      <c r="E89" s="2"/>
      <c r="L89" s="12"/>
      <c r="N89" s="2"/>
      <c r="R89" s="12"/>
      <c r="T89" s="2"/>
      <c r="X89" s="12"/>
      <c r="Z89" s="2"/>
    </row>
    <row r="90" spans="2:32">
      <c r="B90" t="s">
        <v>102</v>
      </c>
      <c r="C90" s="12" t="s">
        <v>63</v>
      </c>
      <c r="D90">
        <f>D88-D80</f>
        <v>6.25</v>
      </c>
      <c r="E90" s="2"/>
      <c r="K90" t="s">
        <v>102</v>
      </c>
      <c r="L90" s="12" t="s">
        <v>63</v>
      </c>
      <c r="M90">
        <f>M88-M80</f>
        <v>10.25</v>
      </c>
      <c r="N90" s="2"/>
      <c r="Q90" t="s">
        <v>103</v>
      </c>
      <c r="R90" s="12" t="s">
        <v>104</v>
      </c>
      <c r="S90">
        <f>S88-S80</f>
        <v>2</v>
      </c>
      <c r="T90" s="2"/>
      <c r="W90" t="s">
        <v>103</v>
      </c>
      <c r="X90" s="12" t="s">
        <v>104</v>
      </c>
      <c r="Y90">
        <f>Y88-Y80</f>
        <v>2</v>
      </c>
      <c r="Z90" s="2"/>
    </row>
    <row r="91" spans="2:32">
      <c r="C91" s="12"/>
      <c r="E91" s="2"/>
      <c r="L91" s="12"/>
      <c r="N91" s="2"/>
      <c r="R91" s="12"/>
      <c r="T91" s="2"/>
      <c r="X91" s="12"/>
      <c r="Z91" s="2"/>
    </row>
    <row r="92" spans="2:32">
      <c r="C92" s="12" t="s">
        <v>64</v>
      </c>
      <c r="D92">
        <v>1.4999999999999999E-4</v>
      </c>
      <c r="E92" s="2"/>
      <c r="L92" s="12" t="s">
        <v>64</v>
      </c>
      <c r="M92">
        <v>1.4999999999999999E-4</v>
      </c>
      <c r="N92" s="2"/>
      <c r="R92" s="12" t="s">
        <v>64</v>
      </c>
      <c r="S92">
        <v>1.4999999999999999E-4</v>
      </c>
      <c r="T92" s="2"/>
      <c r="X92" s="12" t="s">
        <v>64</v>
      </c>
      <c r="Y92">
        <v>1.4999999999999999E-4</v>
      </c>
      <c r="Z92" s="2"/>
    </row>
    <row r="93" spans="2:32">
      <c r="C93" s="12" t="s">
        <v>66</v>
      </c>
      <c r="D93">
        <f>D79*D76/(1*(10^(-6)))</f>
        <v>311206.48276371323</v>
      </c>
      <c r="E93" s="2"/>
      <c r="L93" s="12" t="s">
        <v>66</v>
      </c>
      <c r="M93">
        <f>M79*M76/(1*(10^(-6)))</f>
        <v>314544.91685000883</v>
      </c>
      <c r="N93" s="2"/>
      <c r="R93" s="12" t="s">
        <v>66</v>
      </c>
      <c r="S93">
        <f>S79*S76/(1*(10^(-6)))</f>
        <v>100933.94284297216</v>
      </c>
      <c r="T93" s="2"/>
      <c r="X93" s="12" t="s">
        <v>66</v>
      </c>
      <c r="Y93">
        <f>Y79*Y76/(1*(10^(-6)))</f>
        <v>82851.734359188631</v>
      </c>
      <c r="Z93" s="2"/>
    </row>
    <row r="94" spans="2:32">
      <c r="C94" s="12" t="s">
        <v>67</v>
      </c>
      <c r="D94">
        <f>1/((-2*LOG10(((D92/D76)/3.7)) + (((5.1286/(D93^0.89)))))^2)</f>
        <v>2.120590095097483E-2</v>
      </c>
      <c r="E94" s="2"/>
      <c r="L94" s="12" t="s">
        <v>67</v>
      </c>
      <c r="M94">
        <f>1/((-2*LOG10(((M92/M76)/3.7)) + (((5.1286/(M93^0.89)))))^2)</f>
        <v>2.120590481825179E-2</v>
      </c>
      <c r="N94" s="2"/>
      <c r="R94" s="12" t="s">
        <v>67</v>
      </c>
      <c r="S94">
        <f>1/((-2*LOG10(((S92/S76)/3.7)) + (((5.1286/(S93^0.89)))))^2)</f>
        <v>2.3419202127130622E-2</v>
      </c>
      <c r="T94" s="2"/>
      <c r="X94" s="12" t="s">
        <v>67</v>
      </c>
      <c r="Y94">
        <f>1/((-2*LOG10(((Y92/Y76)/3.7)) + (((5.1286/(Y93^0.89)))))^2)</f>
        <v>2.3418953660396275E-2</v>
      </c>
      <c r="Z94" s="2"/>
    </row>
    <row r="95" spans="2:32">
      <c r="C95" s="12" t="s">
        <v>105</v>
      </c>
      <c r="D95">
        <v>3.5</v>
      </c>
      <c r="E95" s="2"/>
      <c r="L95" s="12" t="s">
        <v>105</v>
      </c>
      <c r="M95">
        <v>3.5</v>
      </c>
      <c r="N95" s="2"/>
      <c r="R95" s="12" t="s">
        <v>68</v>
      </c>
      <c r="S95">
        <v>3.5</v>
      </c>
      <c r="T95" s="2"/>
      <c r="X95" s="12" t="s">
        <v>68</v>
      </c>
      <c r="Y95">
        <v>3.5</v>
      </c>
      <c r="Z95" s="2"/>
    </row>
    <row r="96" spans="2:32">
      <c r="C96" s="12" t="s">
        <v>69</v>
      </c>
      <c r="D96">
        <f>D94*(D95/D76)*((D79^2)/(2*9.81))</f>
        <v>0.27526119113045283</v>
      </c>
      <c r="E96" s="2"/>
      <c r="L96" s="12" t="s">
        <v>69</v>
      </c>
      <c r="M96">
        <f>M94*(M95/M76)*((M79^2)/(2*9.81))</f>
        <v>0.281198588299787</v>
      </c>
      <c r="N96" s="2"/>
      <c r="R96" s="12" t="s">
        <v>69</v>
      </c>
      <c r="S96">
        <f>S94*(S95/S76)*((S79^2)/(2*9.81))</f>
        <v>0.10088621378140826</v>
      </c>
      <c r="T96" s="2"/>
      <c r="X96" s="12" t="s">
        <v>69</v>
      </c>
      <c r="Y96">
        <f>Y94*(Y95/Y76)*((Y79^2)/(2*9.81))</f>
        <v>6.7976053414083595E-2</v>
      </c>
      <c r="Z96" s="2"/>
    </row>
    <row r="97" spans="2:32">
      <c r="C97" s="13"/>
      <c r="E97" s="2"/>
      <c r="L97" s="13"/>
      <c r="N97" s="2"/>
      <c r="R97" s="13"/>
      <c r="T97" s="2"/>
      <c r="X97" s="13"/>
      <c r="Z97" s="2"/>
      <c r="AD97" s="5"/>
    </row>
    <row r="98" spans="2:32">
      <c r="C98" s="15" t="s">
        <v>70</v>
      </c>
      <c r="D98" t="s">
        <v>71</v>
      </c>
      <c r="E98" s="2" t="s">
        <v>72</v>
      </c>
      <c r="L98" s="15" t="s">
        <v>70</v>
      </c>
      <c r="M98" t="s">
        <v>71</v>
      </c>
      <c r="N98" s="2" t="s">
        <v>72</v>
      </c>
      <c r="R98" s="15" t="s">
        <v>70</v>
      </c>
      <c r="S98" s="21" t="s">
        <v>71</v>
      </c>
      <c r="T98" s="22" t="s">
        <v>72</v>
      </c>
      <c r="X98" s="15" t="s">
        <v>70</v>
      </c>
      <c r="Y98" s="21" t="s">
        <v>71</v>
      </c>
      <c r="Z98" s="22" t="s">
        <v>72</v>
      </c>
      <c r="AD98" s="31"/>
      <c r="AE98" s="21"/>
      <c r="AF98" s="21"/>
    </row>
    <row r="99" spans="2:32">
      <c r="C99" s="12" t="s">
        <v>73</v>
      </c>
      <c r="D99">
        <v>0.45</v>
      </c>
      <c r="E99" s="2">
        <v>2</v>
      </c>
      <c r="L99" s="12" t="s">
        <v>73</v>
      </c>
      <c r="M99">
        <v>0.45</v>
      </c>
      <c r="N99" s="2">
        <v>2</v>
      </c>
      <c r="R99" s="12" t="s">
        <v>73</v>
      </c>
      <c r="S99">
        <v>0.45</v>
      </c>
      <c r="T99" s="2">
        <v>2</v>
      </c>
      <c r="X99" s="12" t="s">
        <v>73</v>
      </c>
      <c r="Y99">
        <v>0.45</v>
      </c>
      <c r="Z99" s="2">
        <v>2</v>
      </c>
    </row>
    <row r="100" spans="2:32">
      <c r="C100" s="12" t="s">
        <v>74</v>
      </c>
      <c r="D100">
        <v>1.5</v>
      </c>
      <c r="E100" s="2">
        <v>0</v>
      </c>
      <c r="L100" s="12" t="s">
        <v>74</v>
      </c>
      <c r="M100">
        <v>1.5</v>
      </c>
      <c r="N100" s="2">
        <v>0</v>
      </c>
      <c r="R100" s="12" t="s">
        <v>74</v>
      </c>
      <c r="S100">
        <v>1.5</v>
      </c>
      <c r="T100" s="2">
        <v>1</v>
      </c>
      <c r="X100" s="12" t="s">
        <v>74</v>
      </c>
      <c r="Y100">
        <v>1.5</v>
      </c>
      <c r="Z100" s="2">
        <v>1</v>
      </c>
    </row>
    <row r="101" spans="2:32">
      <c r="C101" s="12" t="s">
        <v>75</v>
      </c>
      <c r="D101">
        <v>1.5</v>
      </c>
      <c r="E101" s="2">
        <v>1</v>
      </c>
      <c r="L101" s="12" t="s">
        <v>75</v>
      </c>
      <c r="M101">
        <v>1.5</v>
      </c>
      <c r="N101" s="2">
        <v>1</v>
      </c>
      <c r="R101" s="12" t="s">
        <v>75</v>
      </c>
      <c r="S101">
        <v>1.5</v>
      </c>
      <c r="T101" s="2">
        <v>0</v>
      </c>
      <c r="X101" s="12" t="s">
        <v>75</v>
      </c>
      <c r="Y101">
        <v>1.5</v>
      </c>
      <c r="Z101" s="2">
        <v>0</v>
      </c>
    </row>
    <row r="102" spans="2:32">
      <c r="C102" s="12"/>
      <c r="E102" s="2"/>
      <c r="L102" s="12"/>
      <c r="N102" s="2"/>
      <c r="R102" s="12"/>
      <c r="T102" s="2"/>
      <c r="X102" s="12"/>
      <c r="Z102" s="2"/>
    </row>
    <row r="103" spans="2:32">
      <c r="C103" s="12" t="s">
        <v>76</v>
      </c>
      <c r="D103">
        <f>(D99*E99)+(D100*E100)+(D101*E101)</f>
        <v>2.4</v>
      </c>
      <c r="E103" s="2"/>
      <c r="L103" s="12" t="s">
        <v>76</v>
      </c>
      <c r="M103">
        <f>(M99*N99)+(M100*N100)+(M101*N101)</f>
        <v>2.4</v>
      </c>
      <c r="N103" s="2"/>
      <c r="R103" s="12" t="s">
        <v>76</v>
      </c>
      <c r="S103">
        <f>(S99*T99)+(S100*T100)+(S101*T101)</f>
        <v>2.4</v>
      </c>
      <c r="T103" s="2"/>
      <c r="X103" s="12" t="s">
        <v>76</v>
      </c>
      <c r="Y103">
        <f>(Y99*Z99)+(Y100*Z100)+(Y101*Z101)</f>
        <v>2.4</v>
      </c>
      <c r="Z103" s="2"/>
    </row>
    <row r="104" spans="2:32">
      <c r="C104" s="12" t="s">
        <v>77</v>
      </c>
      <c r="D104">
        <f>D103*((D79^2)/(2*9.81))</f>
        <v>0.97909343558178608</v>
      </c>
      <c r="E104" s="2"/>
      <c r="L104" s="12" t="s">
        <v>77</v>
      </c>
      <c r="M104">
        <f>M103*((M79^2)/(2*9.81))</f>
        <v>1.00021234580513</v>
      </c>
      <c r="N104" s="2"/>
      <c r="R104" s="12" t="s">
        <v>77</v>
      </c>
      <c r="S104">
        <f>S103*((S79^2)/(2*9.81))</f>
        <v>0.22154614078865634</v>
      </c>
      <c r="T104" s="2"/>
      <c r="X104" s="12" t="s">
        <v>77</v>
      </c>
      <c r="Y104">
        <f>Y103*((Y79^2)/(2*9.81))</f>
        <v>0.14927700738186736</v>
      </c>
      <c r="Z104" s="2"/>
    </row>
    <row r="105" spans="2:32">
      <c r="C105" s="12"/>
      <c r="E105" s="2"/>
      <c r="L105" s="12"/>
      <c r="N105" s="2"/>
      <c r="R105" s="12"/>
      <c r="T105" s="2"/>
      <c r="X105" s="12"/>
      <c r="Z105" s="2"/>
    </row>
    <row r="106" spans="2:32">
      <c r="C106" s="12" t="s">
        <v>78</v>
      </c>
      <c r="D106">
        <f>SUM(D95+D104)</f>
        <v>4.4790934355817864</v>
      </c>
      <c r="E106" s="2"/>
      <c r="L106" s="12" t="s">
        <v>78</v>
      </c>
      <c r="M106">
        <f>SUM(M95+M104)</f>
        <v>4.5002123458051297</v>
      </c>
      <c r="N106" s="2"/>
      <c r="R106" s="12" t="s">
        <v>106</v>
      </c>
      <c r="S106">
        <f>SUM(S96+S104)</f>
        <v>0.32243235457006458</v>
      </c>
      <c r="T106" s="2"/>
      <c r="X106" s="12" t="s">
        <v>106</v>
      </c>
      <c r="Y106">
        <f>SUM(Y96+Y104)</f>
        <v>0.21725306079595097</v>
      </c>
      <c r="Z106" s="2"/>
    </row>
    <row r="107" spans="2:32">
      <c r="C107" s="12"/>
      <c r="E107" s="2"/>
      <c r="L107" s="12"/>
      <c r="N107" s="2"/>
      <c r="R107" s="12"/>
      <c r="T107" s="2"/>
      <c r="X107" s="12"/>
      <c r="Z107" s="2"/>
    </row>
    <row r="108" spans="2:32" ht="15" customHeight="1" thickBot="1">
      <c r="B108" t="s">
        <v>107</v>
      </c>
      <c r="C108" s="16" t="s">
        <v>108</v>
      </c>
      <c r="D108" s="3">
        <f>D106-D90+(D81+((D79^2)/(2*9.81)))-((D87^2)/(2*9.81))</f>
        <v>-1.7709065644182136</v>
      </c>
      <c r="E108" s="4"/>
      <c r="F108" s="55" t="s">
        <v>109</v>
      </c>
      <c r="G108" s="55"/>
      <c r="H108" s="55"/>
      <c r="I108" s="55"/>
      <c r="K108" t="s">
        <v>107</v>
      </c>
      <c r="L108" s="16" t="s">
        <v>108</v>
      </c>
      <c r="M108" s="3">
        <f>M106-M90+(M81+((M79^2)/(2*9.81)))-((M87^2)/(2*9.81))</f>
        <v>-5.7497876541948703</v>
      </c>
      <c r="N108" s="4"/>
      <c r="O108" t="s">
        <v>82</v>
      </c>
      <c r="R108" s="16" t="s">
        <v>110</v>
      </c>
      <c r="S108" s="3">
        <f>S90-S106</f>
        <v>1.6775676454299355</v>
      </c>
      <c r="T108" s="4"/>
      <c r="X108" s="16" t="s">
        <v>110</v>
      </c>
      <c r="Y108" s="3">
        <f>Y90-Y106</f>
        <v>1.7827469392040491</v>
      </c>
      <c r="Z108" s="4"/>
    </row>
    <row r="109" spans="2:32">
      <c r="F109" s="55"/>
      <c r="G109" s="55"/>
      <c r="H109" s="55"/>
      <c r="I109" s="55"/>
      <c r="S109" s="59" t="s">
        <v>111</v>
      </c>
      <c r="T109" s="59"/>
      <c r="Y109" s="59" t="s">
        <v>111</v>
      </c>
      <c r="Z109" s="59"/>
      <c r="AE109" s="1"/>
      <c r="AF109" s="1"/>
    </row>
    <row r="110" spans="2:32">
      <c r="F110" s="55"/>
      <c r="G110" s="55"/>
      <c r="H110" s="55"/>
      <c r="I110" s="55"/>
      <c r="S110" s="60"/>
      <c r="T110" s="60"/>
      <c r="Y110" s="60"/>
      <c r="Z110" s="60"/>
      <c r="AE110" s="1"/>
      <c r="AF110" s="1"/>
    </row>
    <row r="111" spans="2:32">
      <c r="F111" s="55"/>
      <c r="G111" s="55"/>
      <c r="H111" s="55"/>
      <c r="I111" s="55"/>
      <c r="S111" s="60"/>
      <c r="T111" s="60"/>
      <c r="Y111" s="60"/>
      <c r="Z111" s="60"/>
      <c r="AE111" s="1"/>
      <c r="AF111" s="1"/>
    </row>
    <row r="112" spans="2:32" ht="15" thickBot="1">
      <c r="F112" s="36"/>
      <c r="G112" s="36"/>
      <c r="H112" s="36"/>
      <c r="I112" s="36"/>
      <c r="S112" s="60"/>
      <c r="T112" s="60"/>
      <c r="Y112" s="60"/>
      <c r="Z112" s="60"/>
      <c r="AE112" s="1"/>
      <c r="AF112" s="1"/>
    </row>
    <row r="113" spans="2:32" ht="15.95" thickBot="1">
      <c r="C113" s="56" t="s">
        <v>84</v>
      </c>
      <c r="D113" s="57"/>
      <c r="E113" s="58"/>
      <c r="F113" s="34"/>
      <c r="G113" s="34"/>
      <c r="L113" s="56" t="s">
        <v>84</v>
      </c>
      <c r="M113" s="57"/>
      <c r="N113" s="58"/>
      <c r="S113" s="60"/>
      <c r="T113" s="60"/>
      <c r="Y113" s="60"/>
      <c r="Z113" s="60"/>
      <c r="AE113" s="1"/>
      <c r="AF113" s="1"/>
    </row>
    <row r="114" spans="2:32">
      <c r="C114" s="12"/>
      <c r="E114" s="2"/>
      <c r="L114" s="12"/>
      <c r="N114" s="2"/>
      <c r="S114" s="60"/>
      <c r="T114" s="60"/>
      <c r="Y114" s="60"/>
      <c r="Z114" s="60"/>
      <c r="AE114" s="1"/>
      <c r="AF114" s="1"/>
    </row>
    <row r="115" spans="2:32">
      <c r="B115" t="s">
        <v>89</v>
      </c>
      <c r="C115" s="13" t="s">
        <v>112</v>
      </c>
      <c r="E115" s="2"/>
      <c r="K115" t="s">
        <v>89</v>
      </c>
      <c r="L115" s="13" t="s">
        <v>112</v>
      </c>
      <c r="N115" s="2"/>
    </row>
    <row r="116" spans="2:32">
      <c r="B116" t="s">
        <v>92</v>
      </c>
      <c r="C116" s="12" t="s">
        <v>55</v>
      </c>
      <c r="D116">
        <v>7.4999999999999997E-2</v>
      </c>
      <c r="E116" s="2"/>
      <c r="K116" t="s">
        <v>92</v>
      </c>
      <c r="L116" s="12" t="s">
        <v>55</v>
      </c>
      <c r="M116">
        <v>7.4999999999999997E-2</v>
      </c>
      <c r="N116" s="2"/>
    </row>
    <row r="117" spans="2:32">
      <c r="C117" s="12" t="s">
        <v>43</v>
      </c>
      <c r="D117">
        <f>PI()*((D116/2)^2)</f>
        <v>4.4178646691106467E-3</v>
      </c>
      <c r="E117" s="2"/>
      <c r="L117" s="12" t="s">
        <v>43</v>
      </c>
      <c r="M117">
        <f>PI()*((M116/2)^2)</f>
        <v>4.4178646691106467E-3</v>
      </c>
      <c r="N117" s="2"/>
    </row>
    <row r="118" spans="2:32">
      <c r="C118" s="12" t="s">
        <v>44</v>
      </c>
      <c r="D118">
        <f>D30</f>
        <v>8.9621033333333339E-3</v>
      </c>
      <c r="E118" s="2"/>
      <c r="L118" s="12" t="s">
        <v>44</v>
      </c>
      <c r="M118">
        <f>M30</f>
        <v>9.0582433333333337E-3</v>
      </c>
      <c r="N118" s="2"/>
    </row>
    <row r="119" spans="2:32">
      <c r="C119" s="14" t="s">
        <v>59</v>
      </c>
      <c r="D119">
        <f>D118/D117</f>
        <v>2.0286052209782786</v>
      </c>
      <c r="E119" s="2" t="s">
        <v>95</v>
      </c>
      <c r="L119" s="14" t="s">
        <v>113</v>
      </c>
      <c r="M119">
        <f>M118/M117</f>
        <v>2.0503668653926499</v>
      </c>
      <c r="N119" s="2" t="s">
        <v>95</v>
      </c>
    </row>
    <row r="120" spans="2:32">
      <c r="C120" s="14" t="s">
        <v>61</v>
      </c>
      <c r="D120">
        <v>18</v>
      </c>
      <c r="E120" s="2"/>
      <c r="L120" s="14" t="s">
        <v>61</v>
      </c>
      <c r="M120">
        <v>14</v>
      </c>
      <c r="N120" s="2"/>
    </row>
    <row r="121" spans="2:32">
      <c r="B121" t="s">
        <v>99</v>
      </c>
      <c r="C121" s="14" t="s">
        <v>97</v>
      </c>
      <c r="D121">
        <f>D108</f>
        <v>-1.7709065644182136</v>
      </c>
      <c r="E121" s="2"/>
      <c r="K121" t="s">
        <v>99</v>
      </c>
      <c r="L121" s="14" t="s">
        <v>97</v>
      </c>
      <c r="M121">
        <f>M108</f>
        <v>-5.7497876541948703</v>
      </c>
      <c r="N121" s="2"/>
    </row>
    <row r="122" spans="2:32">
      <c r="C122" s="12"/>
      <c r="E122" s="2"/>
      <c r="L122" s="12"/>
      <c r="N122" s="2"/>
    </row>
    <row r="123" spans="2:32">
      <c r="C123" s="13" t="s">
        <v>101</v>
      </c>
      <c r="E123" s="2"/>
      <c r="L123" s="13" t="s">
        <v>101</v>
      </c>
      <c r="N123" s="2"/>
    </row>
    <row r="124" spans="2:32">
      <c r="C124" s="12" t="s">
        <v>55</v>
      </c>
      <c r="D124">
        <v>7.4999999999999997E-2</v>
      </c>
      <c r="E124" s="2"/>
      <c r="L124" s="12" t="s">
        <v>55</v>
      </c>
      <c r="M124">
        <v>7.4999999999999997E-2</v>
      </c>
      <c r="N124" s="2"/>
    </row>
    <row r="125" spans="2:32">
      <c r="C125" s="12" t="s">
        <v>43</v>
      </c>
      <c r="D125">
        <f>PI()*((D124/2)^2)</f>
        <v>4.4178646691106467E-3</v>
      </c>
      <c r="E125" s="2"/>
      <c r="L125" s="12" t="s">
        <v>43</v>
      </c>
      <c r="M125">
        <f>PI()*((M124/2)^2)</f>
        <v>4.4178646691106467E-3</v>
      </c>
      <c r="N125" s="2"/>
    </row>
    <row r="126" spans="2:32">
      <c r="C126" s="12" t="s">
        <v>44</v>
      </c>
      <c r="D126">
        <f>D30</f>
        <v>8.9621033333333339E-3</v>
      </c>
      <c r="E126" s="2"/>
      <c r="L126" s="12" t="s">
        <v>44</v>
      </c>
      <c r="M126">
        <f>M30</f>
        <v>9.0582433333333337E-3</v>
      </c>
      <c r="N126" s="2"/>
    </row>
    <row r="127" spans="2:32" ht="15.95" customHeight="1">
      <c r="C127" s="14" t="s">
        <v>93</v>
      </c>
      <c r="D127">
        <v>0</v>
      </c>
      <c r="E127" s="20"/>
      <c r="F127" s="54" t="s">
        <v>114</v>
      </c>
      <c r="G127" s="55"/>
      <c r="H127" s="55"/>
      <c r="I127" s="55"/>
      <c r="L127" s="14" t="s">
        <v>93</v>
      </c>
      <c r="M127">
        <v>0</v>
      </c>
      <c r="N127" s="20"/>
    </row>
    <row r="128" spans="2:32">
      <c r="C128" s="14" t="s">
        <v>61</v>
      </c>
      <c r="D128">
        <v>20</v>
      </c>
      <c r="E128" s="2"/>
      <c r="F128" s="54"/>
      <c r="G128" s="55"/>
      <c r="H128" s="55"/>
      <c r="I128" s="55"/>
      <c r="L128" s="14" t="s">
        <v>61</v>
      </c>
      <c r="M128">
        <v>16</v>
      </c>
      <c r="N128" s="2"/>
    </row>
    <row r="129" spans="2:32">
      <c r="C129" s="12"/>
      <c r="E129" s="2"/>
      <c r="F129" s="14"/>
      <c r="G129" s="1"/>
      <c r="H129" s="1"/>
      <c r="L129" s="12"/>
      <c r="N129" s="2"/>
    </row>
    <row r="130" spans="2:32">
      <c r="B130" t="s">
        <v>103</v>
      </c>
      <c r="C130" s="12" t="s">
        <v>104</v>
      </c>
      <c r="D130">
        <f>D128-D120</f>
        <v>2</v>
      </c>
      <c r="E130" s="2"/>
      <c r="K130" t="s">
        <v>103</v>
      </c>
      <c r="L130" s="12" t="s">
        <v>104</v>
      </c>
      <c r="M130">
        <f>M128-M120</f>
        <v>2</v>
      </c>
      <c r="N130" s="2"/>
    </row>
    <row r="131" spans="2:32">
      <c r="C131" s="12"/>
      <c r="E131" s="2"/>
      <c r="L131" s="12"/>
      <c r="N131" s="2"/>
    </row>
    <row r="132" spans="2:32">
      <c r="C132" s="12" t="s">
        <v>64</v>
      </c>
      <c r="D132">
        <v>1.4999999999999999E-4</v>
      </c>
      <c r="E132" s="2"/>
      <c r="L132" s="12" t="s">
        <v>64</v>
      </c>
      <c r="M132">
        <v>1.4999999999999999E-4</v>
      </c>
      <c r="N132" s="2"/>
    </row>
    <row r="133" spans="2:32">
      <c r="C133" s="12" t="s">
        <v>66</v>
      </c>
      <c r="D133">
        <f>D119*D116/(1*(10^(-6)))</f>
        <v>152145.3915733709</v>
      </c>
      <c r="E133" s="2"/>
      <c r="L133" s="12" t="s">
        <v>66</v>
      </c>
      <c r="M133">
        <f>M119*M116/(1*(10^(-6)))</f>
        <v>153777.51490444876</v>
      </c>
      <c r="N133" s="2"/>
    </row>
    <row r="134" spans="2:32">
      <c r="C134" s="12" t="s">
        <v>67</v>
      </c>
      <c r="D134">
        <f>1/((-2*LOG10(((D132/D116)/3.7)) + (((5.1286/(D133^0.89)))))^2)</f>
        <v>2.3419597919867582E-2</v>
      </c>
      <c r="E134" s="2"/>
      <c r="L134" s="12" t="s">
        <v>67</v>
      </c>
      <c r="M134">
        <f>1/((-2*LOG10(((M132/M116)/3.7)) + (((5.1286/(M133^0.89)))))^2)</f>
        <v>2.3419606405658846E-2</v>
      </c>
      <c r="N134" s="2"/>
    </row>
    <row r="135" spans="2:32">
      <c r="C135" s="12" t="s">
        <v>68</v>
      </c>
      <c r="D135">
        <v>3.5</v>
      </c>
      <c r="E135" s="2"/>
      <c r="L135" s="12" t="s">
        <v>68</v>
      </c>
      <c r="M135">
        <v>3.5</v>
      </c>
      <c r="N135" s="2"/>
    </row>
    <row r="136" spans="2:32">
      <c r="C136" s="12" t="s">
        <v>69</v>
      </c>
      <c r="D136">
        <f>D134*(D135/D116)*((D119^2)/(2*9.81))</f>
        <v>0.22923571948464957</v>
      </c>
      <c r="E136" s="2"/>
      <c r="L136" s="12" t="s">
        <v>69</v>
      </c>
      <c r="M136">
        <f>M134*(M135/M116)*((M119^2)/(2*9.81))</f>
        <v>0.2341803871558886</v>
      </c>
      <c r="N136" s="2"/>
    </row>
    <row r="137" spans="2:32">
      <c r="C137" s="13"/>
      <c r="E137" s="2"/>
      <c r="L137" s="13"/>
      <c r="N137" s="2"/>
      <c r="X137" s="5"/>
      <c r="AD137" s="5"/>
    </row>
    <row r="138" spans="2:32">
      <c r="C138" s="15" t="s">
        <v>70</v>
      </c>
      <c r="D138" s="21" t="s">
        <v>71</v>
      </c>
      <c r="E138" s="22" t="s">
        <v>72</v>
      </c>
      <c r="F138" s="21"/>
      <c r="G138" s="21"/>
      <c r="L138" s="15" t="s">
        <v>70</v>
      </c>
      <c r="M138" s="21" t="s">
        <v>71</v>
      </c>
      <c r="N138" s="22" t="s">
        <v>72</v>
      </c>
      <c r="X138" s="31"/>
      <c r="Y138" s="21"/>
      <c r="Z138" s="21"/>
      <c r="AD138" s="31"/>
      <c r="AE138" s="21"/>
      <c r="AF138" s="21"/>
    </row>
    <row r="139" spans="2:32">
      <c r="C139" s="12" t="s">
        <v>73</v>
      </c>
      <c r="D139">
        <v>0.45</v>
      </c>
      <c r="E139" s="2">
        <v>2</v>
      </c>
      <c r="L139" s="12" t="s">
        <v>73</v>
      </c>
      <c r="M139">
        <v>0.45</v>
      </c>
      <c r="N139" s="2">
        <v>2</v>
      </c>
    </row>
    <row r="140" spans="2:32">
      <c r="C140" s="12" t="s">
        <v>74</v>
      </c>
      <c r="D140">
        <v>1.5</v>
      </c>
      <c r="E140" s="2">
        <v>1</v>
      </c>
      <c r="L140" s="12" t="s">
        <v>74</v>
      </c>
      <c r="M140">
        <v>1.5</v>
      </c>
      <c r="N140" s="2">
        <v>1</v>
      </c>
    </row>
    <row r="141" spans="2:32">
      <c r="C141" s="12" t="s">
        <v>75</v>
      </c>
      <c r="D141">
        <v>1.5</v>
      </c>
      <c r="E141" s="2">
        <v>0</v>
      </c>
      <c r="L141" s="12" t="s">
        <v>75</v>
      </c>
      <c r="M141">
        <v>1.5</v>
      </c>
      <c r="N141" s="2">
        <v>0</v>
      </c>
    </row>
    <row r="142" spans="2:32">
      <c r="C142" s="12"/>
      <c r="E142" s="2"/>
      <c r="L142" s="12"/>
      <c r="N142" s="2"/>
    </row>
    <row r="143" spans="2:32">
      <c r="C143" s="12" t="s">
        <v>76</v>
      </c>
      <c r="D143">
        <f>(D139*E139)+(D140*E140)+(D141*E141)</f>
        <v>2.4</v>
      </c>
      <c r="E143" s="2"/>
      <c r="L143" s="12" t="s">
        <v>76</v>
      </c>
      <c r="M143">
        <f>(M139*N139)+(M140*N140)+(M141*N141)</f>
        <v>2.4</v>
      </c>
      <c r="N143" s="2"/>
    </row>
    <row r="144" spans="2:32">
      <c r="C144" s="12" t="s">
        <v>77</v>
      </c>
      <c r="D144">
        <f>D143*((D119^2)/(2*9.81))</f>
        <v>0.50339316728811379</v>
      </c>
      <c r="E144" s="2"/>
      <c r="L144" s="12" t="s">
        <v>77</v>
      </c>
      <c r="M144">
        <f>M143*((M119^2)/(2*9.81))</f>
        <v>0.51425128840367951</v>
      </c>
      <c r="N144" s="2"/>
    </row>
    <row r="145" spans="3:32">
      <c r="C145" s="12"/>
      <c r="E145" s="2"/>
      <c r="L145" s="12"/>
      <c r="N145" s="2"/>
    </row>
    <row r="146" spans="3:32">
      <c r="C146" s="12" t="s">
        <v>106</v>
      </c>
      <c r="D146">
        <f>SUM(D136+D144)</f>
        <v>0.73262888677276339</v>
      </c>
      <c r="E146" s="2"/>
      <c r="L146" s="12" t="s">
        <v>106</v>
      </c>
      <c r="M146">
        <f>SUM(M136+M144)</f>
        <v>0.74843167555956813</v>
      </c>
      <c r="N146" s="2"/>
    </row>
    <row r="147" spans="3:32">
      <c r="C147" s="12"/>
      <c r="E147" s="2"/>
      <c r="L147" s="12"/>
      <c r="N147" s="2"/>
    </row>
    <row r="148" spans="3:32" ht="15" customHeight="1" thickBot="1">
      <c r="C148" s="16" t="s">
        <v>110</v>
      </c>
      <c r="D148" s="3">
        <f>D130-D146</f>
        <v>1.2673711132272367</v>
      </c>
      <c r="E148" s="4"/>
      <c r="F148" s="55" t="s">
        <v>115</v>
      </c>
      <c r="G148" s="55"/>
      <c r="H148" s="55"/>
      <c r="I148" s="55"/>
      <c r="J148" s="55"/>
      <c r="L148" s="16" t="s">
        <v>110</v>
      </c>
      <c r="M148" s="3">
        <f>M130-M146</f>
        <v>1.2515683244404319</v>
      </c>
      <c r="N148" s="4"/>
    </row>
    <row r="149" spans="3:32" ht="14.45" customHeight="1">
      <c r="D149" s="39"/>
      <c r="E149" s="39"/>
      <c r="F149" s="55"/>
      <c r="G149" s="55"/>
      <c r="H149" s="55"/>
      <c r="I149" s="55"/>
      <c r="J149" s="55"/>
      <c r="M149" s="59" t="s">
        <v>111</v>
      </c>
      <c r="N149" s="59"/>
      <c r="Y149" s="60"/>
      <c r="Z149" s="60"/>
      <c r="AE149" s="60"/>
      <c r="AF149" s="60"/>
    </row>
    <row r="150" spans="3:32">
      <c r="D150" s="1"/>
      <c r="E150" s="1"/>
      <c r="F150" s="55"/>
      <c r="G150" s="55"/>
      <c r="H150" s="55"/>
      <c r="I150" s="55"/>
      <c r="J150" s="55"/>
      <c r="M150" s="60"/>
      <c r="N150" s="60"/>
      <c r="Y150" s="60"/>
      <c r="Z150" s="60"/>
      <c r="AE150" s="60"/>
      <c r="AF150" s="60"/>
    </row>
    <row r="151" spans="3:32">
      <c r="D151" s="1"/>
      <c r="E151" s="1"/>
      <c r="F151" s="55"/>
      <c r="G151" s="55"/>
      <c r="H151" s="55"/>
      <c r="I151" s="55"/>
      <c r="J151" s="55"/>
      <c r="M151" s="60"/>
      <c r="N151" s="60"/>
      <c r="Y151" s="60"/>
      <c r="Z151" s="60"/>
      <c r="AE151" s="60"/>
      <c r="AF151" s="60"/>
    </row>
    <row r="152" spans="3:32">
      <c r="D152" s="1"/>
      <c r="E152" s="1"/>
      <c r="F152" s="55"/>
      <c r="G152" s="55"/>
      <c r="H152" s="55"/>
      <c r="I152" s="55"/>
      <c r="J152" s="55"/>
      <c r="M152" s="60"/>
      <c r="N152" s="60"/>
      <c r="Y152" s="60"/>
      <c r="Z152" s="60"/>
      <c r="AE152" s="60"/>
      <c r="AF152" s="60"/>
    </row>
  </sheetData>
  <mergeCells count="22">
    <mergeCell ref="AE149:AF152"/>
    <mergeCell ref="AD73:AF73"/>
    <mergeCell ref="R73:T73"/>
    <mergeCell ref="S109:T114"/>
    <mergeCell ref="Y149:Z152"/>
    <mergeCell ref="X73:Z73"/>
    <mergeCell ref="Y109:Z114"/>
    <mergeCell ref="M149:N152"/>
    <mergeCell ref="C73:E73"/>
    <mergeCell ref="C113:E113"/>
    <mergeCell ref="F75:I76"/>
    <mergeCell ref="F81:I85"/>
    <mergeCell ref="F108:I111"/>
    <mergeCell ref="F127:I128"/>
    <mergeCell ref="F148:J152"/>
    <mergeCell ref="L73:N73"/>
    <mergeCell ref="F34:I35"/>
    <mergeCell ref="F45:I47"/>
    <mergeCell ref="F39:I40"/>
    <mergeCell ref="F53:H54"/>
    <mergeCell ref="L113:N113"/>
    <mergeCell ref="F70:I71"/>
  </mergeCells>
  <conditionalFormatting sqref="D70">
    <cfRule type="cellIs" dxfId="16" priority="18" operator="between">
      <formula>0</formula>
      <formula>-8.8</formula>
    </cfRule>
  </conditionalFormatting>
  <conditionalFormatting sqref="D108">
    <cfRule type="cellIs" dxfId="15" priority="19" operator="between">
      <formula>0</formula>
      <formula>-8.8</formula>
    </cfRule>
  </conditionalFormatting>
  <conditionalFormatting sqref="D148">
    <cfRule type="cellIs" dxfId="14" priority="17" operator="greaterThan">
      <formula>0</formula>
    </cfRule>
  </conditionalFormatting>
  <conditionalFormatting sqref="M70">
    <cfRule type="cellIs" dxfId="13" priority="16" operator="between">
      <formula>0</formula>
      <formula>-8.8</formula>
    </cfRule>
  </conditionalFormatting>
  <conditionalFormatting sqref="M108">
    <cfRule type="cellIs" dxfId="12" priority="15" operator="between">
      <formula>0</formula>
      <formula>-8.8</formula>
    </cfRule>
  </conditionalFormatting>
  <conditionalFormatting sqref="M148">
    <cfRule type="cellIs" dxfId="11" priority="14" operator="greaterThan">
      <formula>0</formula>
    </cfRule>
  </conditionalFormatting>
  <conditionalFormatting sqref="S70">
    <cfRule type="cellIs" dxfId="10" priority="13" operator="between">
      <formula>0</formula>
      <formula>-8.8</formula>
    </cfRule>
  </conditionalFormatting>
  <conditionalFormatting sqref="S108">
    <cfRule type="cellIs" dxfId="9" priority="11" operator="greaterThan">
      <formula>0</formula>
    </cfRule>
  </conditionalFormatting>
  <conditionalFormatting sqref="Y70">
    <cfRule type="cellIs" dxfId="8" priority="4" operator="between">
      <formula>0</formula>
      <formula>-8.8</formula>
    </cfRule>
  </conditionalFormatting>
  <conditionalFormatting sqref="Y108">
    <cfRule type="cellIs" dxfId="7" priority="3" operator="greaterThan">
      <formula>0</formula>
    </cfRule>
  </conditionalFormatting>
  <conditionalFormatting sqref="Y148">
    <cfRule type="cellIs" dxfId="6" priority="8" operator="greaterThan">
      <formula>0</formula>
    </cfRule>
  </conditionalFormatting>
  <conditionalFormatting sqref="AE108">
    <cfRule type="cellIs" dxfId="5" priority="1" operator="greaterThan">
      <formula>0</formula>
    </cfRule>
  </conditionalFormatting>
  <conditionalFormatting sqref="AE148">
    <cfRule type="cellIs" dxfId="4" priority="5" operator="greater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6586-EE94-46C1-9C52-393470E549BC}">
  <dimension ref="C2:M24"/>
  <sheetViews>
    <sheetView showGridLines="0" tabSelected="1" topLeftCell="B1" zoomScale="220" zoomScaleNormal="220" workbookViewId="0">
      <selection activeCell="K7" sqref="K7"/>
    </sheetView>
  </sheetViews>
  <sheetFormatPr defaultRowHeight="14.45"/>
  <cols>
    <col min="2" max="2" width="4.5703125" customWidth="1"/>
    <col min="3" max="3" width="11.5703125" bestFit="1" customWidth="1"/>
    <col min="4" max="4" width="11.5703125" customWidth="1"/>
    <col min="5" max="5" width="10.42578125" bestFit="1" customWidth="1"/>
    <col min="6" max="6" width="15.28515625" bestFit="1" customWidth="1"/>
    <col min="7" max="7" width="11.5703125" customWidth="1"/>
    <col min="8" max="8" width="12" customWidth="1"/>
    <col min="9" max="9" width="11.42578125" customWidth="1"/>
  </cols>
  <sheetData>
    <row r="2" spans="3:12" ht="15" thickBot="1">
      <c r="C2" s="42"/>
      <c r="D2" s="42"/>
      <c r="E2" s="42"/>
      <c r="F2" s="42"/>
    </row>
    <row r="3" spans="3:12" ht="57.95">
      <c r="C3" s="45" t="s">
        <v>116</v>
      </c>
      <c r="D3" s="46" t="s">
        <v>117</v>
      </c>
      <c r="E3" s="46" t="s">
        <v>118</v>
      </c>
      <c r="F3" s="46" t="s">
        <v>119</v>
      </c>
      <c r="G3" s="46" t="s">
        <v>120</v>
      </c>
      <c r="H3" s="46" t="s">
        <v>121</v>
      </c>
      <c r="I3" s="47" t="s">
        <v>122</v>
      </c>
    </row>
    <row r="4" spans="3:12">
      <c r="C4" s="24">
        <v>1</v>
      </c>
      <c r="D4" s="23" t="s">
        <v>123</v>
      </c>
      <c r="E4" s="27">
        <f>'BS 8490 Calculations'!D119</f>
        <v>2.0286052209782786</v>
      </c>
      <c r="F4" s="27">
        <f>'BS 8490 Calculations'!D108</f>
        <v>-1.7709065644182136</v>
      </c>
      <c r="G4" s="27">
        <f>'BS 8490 Calculations'!D87</f>
        <v>2.8291498433064839</v>
      </c>
      <c r="H4" s="27">
        <f>'BS 8490 Calculations'!D108</f>
        <v>-1.7709065644182136</v>
      </c>
      <c r="I4" s="28">
        <f>'BS 8490 Calculations'!D48</f>
        <v>2.8291498433064839</v>
      </c>
      <c r="L4" t="s">
        <v>124</v>
      </c>
    </row>
    <row r="5" spans="3:12">
      <c r="C5" s="24">
        <v>2</v>
      </c>
      <c r="D5" s="23" t="s">
        <v>123</v>
      </c>
      <c r="E5" s="27">
        <f>'BS 8490 Calculations'!M119</f>
        <v>2.0503668653926499</v>
      </c>
      <c r="F5" s="27">
        <f>'BS 8490 Calculations'!M108</f>
        <v>-5.7497876541948703</v>
      </c>
      <c r="G5" s="27">
        <f>'BS 8490 Calculations'!M87</f>
        <v>2.8594992440909892</v>
      </c>
      <c r="H5" s="27">
        <f>'BS 8490 Calculations'!M108</f>
        <v>-5.7497876541948703</v>
      </c>
      <c r="I5" s="28">
        <f>'BS 8490 Calculations'!M40</f>
        <v>2.8594992440909892</v>
      </c>
    </row>
    <row r="6" spans="3:12">
      <c r="C6" s="24">
        <v>3</v>
      </c>
      <c r="D6" s="23" t="s">
        <v>125</v>
      </c>
      <c r="E6" s="27">
        <f>'BS 8490 Calculations'!S79</f>
        <v>1.3457859045729621</v>
      </c>
      <c r="F6" s="27">
        <f>'BS 8490 Calculations'!S70</f>
        <v>-6.3507707579296842</v>
      </c>
      <c r="G6" s="27">
        <f>'BS 8490 Calculations'!S48</f>
        <v>2.6915718091459242</v>
      </c>
      <c r="H6" s="23" t="s">
        <v>126</v>
      </c>
      <c r="I6" s="48" t="s">
        <v>126</v>
      </c>
    </row>
    <row r="7" spans="3:12" ht="15" thickBot="1">
      <c r="C7" s="25">
        <v>4</v>
      </c>
      <c r="D7" s="26" t="s">
        <v>125</v>
      </c>
      <c r="E7" s="29">
        <f>'BS 8490 Calculations'!Y79</f>
        <v>1.1046897914558484</v>
      </c>
      <c r="F7" s="29">
        <f>'BS 8490 Calculations'!Y70</f>
        <v>-6.8887593855945237</v>
      </c>
      <c r="G7" s="29">
        <f>'BS 8490 Calculations'!Y40</f>
        <v>2.2093795829116969</v>
      </c>
      <c r="H7" s="26" t="s">
        <v>126</v>
      </c>
      <c r="I7" s="49" t="s">
        <v>126</v>
      </c>
    </row>
    <row r="8" spans="3:12">
      <c r="D8" s="43" t="s">
        <v>127</v>
      </c>
      <c r="E8" s="44" t="s">
        <v>128</v>
      </c>
      <c r="F8" s="44" t="s">
        <v>129</v>
      </c>
      <c r="G8" s="44" t="s">
        <v>130</v>
      </c>
      <c r="H8" s="44" t="s">
        <v>129</v>
      </c>
      <c r="I8" s="44" t="s">
        <v>130</v>
      </c>
    </row>
    <row r="9" spans="3:12">
      <c r="D9" s="41"/>
    </row>
    <row r="24" spans="13:13">
      <c r="M24" t="s">
        <v>131</v>
      </c>
    </row>
  </sheetData>
  <conditionalFormatting sqref="E4:E7">
    <cfRule type="cellIs" dxfId="3" priority="5" operator="greaterThan">
      <formula>1</formula>
    </cfRule>
  </conditionalFormatting>
  <conditionalFormatting sqref="G4:G7">
    <cfRule type="cellIs" dxfId="2" priority="4" operator="between">
      <formula>2.2</formula>
      <formula>4.5</formula>
    </cfRule>
  </conditionalFormatting>
  <conditionalFormatting sqref="H4:H5 F4:F7">
    <cfRule type="cellIs" dxfId="1" priority="3" operator="greaterThan">
      <formula>-8.8</formula>
    </cfRule>
  </conditionalFormatting>
  <conditionalFormatting sqref="I4:I5">
    <cfRule type="cellIs" dxfId="0" priority="2" operator="between">
      <formula>2.2</formula>
      <formula>4.5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Charlie Villiers (UG)</dc:creator>
  <cp:keywords/>
  <dc:description/>
  <cp:lastModifiedBy/>
  <cp:revision/>
  <dcterms:created xsi:type="dcterms:W3CDTF">2025-04-06T12:22:45Z</dcterms:created>
  <dcterms:modified xsi:type="dcterms:W3CDTF">2025-04-30T19:22:23Z</dcterms:modified>
  <cp:category/>
  <cp:contentStatus/>
</cp:coreProperties>
</file>